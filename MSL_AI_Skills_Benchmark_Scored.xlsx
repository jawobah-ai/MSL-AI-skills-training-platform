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ubric" sheetId="3" state="visible" r:id="rId3"/>
    <sheet xmlns:r="http://schemas.openxmlformats.org/officeDocument/2006/relationships" name="Evidence" sheetId="4" state="visible" r:id="rId4"/>
    <sheet xmlns:r="http://schemas.openxmlformats.org/officeDocument/2006/relationships" name="Gap analysis" sheetId="5" state="visible" r:id="rId5"/>
    <sheet xmlns:r="http://schemas.openxmlformats.org/officeDocument/2006/relationships" name="Sources" sheetId="6" state="visible" r:id="rId6"/>
    <sheet xmlns:r="http://schemas.openxmlformats.org/officeDocument/2006/relationships" name="Players" sheetId="7" state="visible" r:id="rId7"/>
    <sheet xmlns:r="http://schemas.openxmlformats.org/officeDocument/2006/relationships" name="Market" sheetId="8" state="visible" r:id="rId8"/>
    <sheet xmlns:r="http://schemas.openxmlformats.org/officeDocument/2006/relationships" name="Viability" sheetId="9" state="visible" r:id="rId9"/>
    <sheet xmlns:r="http://schemas.openxmlformats.org/officeDocument/2006/relationships" name="Roadmap ceiling" sheetId="10" state="visible" r:id="rId1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color rgb="000000FF"/>
      <sz val="10"/>
    </font>
    <font>
      <name val="Arial"/>
      <b val="1"/>
      <color rgb="000000FF"/>
      <sz val="10"/>
    </font>
    <font>
      <name val="Arial"/>
      <b val="1"/>
      <sz val="10"/>
    </font>
    <font>
      <name val="Arial"/>
      <i val="1"/>
      <sz val="10"/>
    </font>
    <font>
      <name val="Arial"/>
      <i val="1"/>
      <color rgb="00C00000"/>
      <sz val="10"/>
    </font>
    <font>
      <name val="Arial"/>
      <color rgb="000563C1"/>
      <sz val="10"/>
      <u val="single"/>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7" fillId="0"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horizontal="center" vertical="center" wrapText="1"/>
    </xf>
    <xf numFmtId="9" fontId="5" fillId="3" borderId="1" applyAlignment="1" pivotButton="0" quotePrefix="0" xfId="0">
      <alignment horizontal="center" vertical="center" wrapText="1"/>
    </xf>
    <xf numFmtId="9" fontId="4" fillId="0" borderId="1" applyAlignment="1" pivotButton="0" quotePrefix="0" xfId="0">
      <alignment horizontal="center" vertical="center" wrapText="1"/>
    </xf>
    <xf numFmtId="0" fontId="7" fillId="4" borderId="1" applyAlignment="1" pivotButton="0" quotePrefix="0" xfId="0">
      <alignment vertical="top" wrapText="1"/>
    </xf>
    <xf numFmtId="9" fontId="7"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8" fillId="0" borderId="0" pivotButton="0" quotePrefix="0" xfId="0"/>
    <xf numFmtId="0" fontId="9" fillId="0" borderId="0" pivotButton="0" quotePrefix="0" xfId="0"/>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0" borderId="1" applyAlignment="1" pivotButton="0" quotePrefix="0" xfId="0">
      <alignment vertical="top" wrapText="1"/>
    </xf>
  </cellXfs>
  <cellStyles count="1">
    <cellStyle name="Normal" xfId="0" builtinId="0" hidden="0"/>
  </cellStyles>
  <dxfs count="5">
    <dxf>
      <font>
        <name val="Arial"/>
        <b val="1"/>
        <color rgb="009C0006"/>
      </font>
      <fill>
        <patternFill patternType="solid">
          <fgColor rgb="00F8CBAD"/>
        </patternFill>
      </fill>
    </dxf>
    <dxf>
      <font>
        <name val="Arial"/>
        <b val="1"/>
        <color rgb="00006100"/>
      </font>
      <fill>
        <patternFill patternType="solid">
          <fgColor rgb="00C6EFCE"/>
        </patternFill>
      </fill>
    </dxf>
    <dxf>
      <fill>
        <patternFill patternType="solid">
          <fgColor rgb="00C6EF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Overall weighted score</a:t>
            </a:r>
          </a:p>
        </rich>
      </tx>
    </title>
    <plotArea>
      <barChart>
        <barDir val="bar"/>
        <grouping val="clustered"/>
        <ser>
          <idx val="0"/>
          <order val="0"/>
          <spPr>
            <a:ln xmlns:a="http://schemas.openxmlformats.org/drawingml/2006/main">
              <a:prstDash val="solid"/>
            </a:ln>
          </spPr>
          <cat>
            <numRef>
              <f>'Summary'!$C$4:$K$4</f>
            </numRef>
          </cat>
          <val>
            <numRef>
              <f>'Summary'!$C$18:$K$18</f>
            </numRef>
          </val>
        </ser>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Score</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MSL role specificity (domain with widest gap)</a:t>
            </a:r>
          </a:p>
        </rich>
      </tx>
    </title>
    <plotArea>
      <barChart>
        <barDir val="bar"/>
        <grouping val="clustered"/>
        <ser>
          <idx val="0"/>
          <order val="0"/>
          <spPr>
            <a:ln xmlns:a="http://schemas.openxmlformats.org/drawingml/2006/main">
              <a:prstDash val="solid"/>
            </a:ln>
          </spPr>
          <cat>
            <numRef>
              <f>'Summary'!$C$4:$K$4</f>
            </numRef>
          </cat>
          <val>
            <numRef>
              <f>'Summary'!$C$5:$K$5</f>
            </numRef>
          </val>
        </ser>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25</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25</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members.themsls.org/events/EventDetails.aspx?id=2071997" TargetMode="External" Id="rId1"/><Relationship Type="http://schemas.openxmlformats.org/officeDocument/2006/relationships/hyperlink" Target="https://themsls.org/msl-board-certification/" TargetMode="External" Id="rId2"/><Relationship Type="http://schemas.openxmlformats.org/officeDocument/2006/relationships/hyperlink" Target="https://themsls.org/staying-relevant-and-effective-as-an-msl-in-the-era-of-ai/" TargetMode="External" Id="rId3"/><Relationship Type="http://schemas.openxmlformats.org/officeDocument/2006/relationships/hyperlink" Target="https://themsls.org/iacet-accreditation/" TargetMode="External" Id="rId4"/><Relationship Type="http://schemas.openxmlformats.org/officeDocument/2006/relationships/hyperlink" Target="https://members.themsls.org/event/AIandHEORTrainingBundle" TargetMode="External" Id="rId5"/><Relationship Type="http://schemas.openxmlformats.org/officeDocument/2006/relationships/hyperlink" Target="https://themsls.org/customized-medical-science-liaison-training/" TargetMode="External" Id="rId6"/><Relationship Type="http://schemas.openxmlformats.org/officeDocument/2006/relationships/hyperlink" Target="https://members.themsls.org/page/joinnow" TargetMode="External" Id="rId7"/><Relationship Type="http://schemas.openxmlformats.org/officeDocument/2006/relationships/hyperlink" Target="https://www.themsls.org/" TargetMode="External" Id="rId8"/><Relationship Type="http://schemas.openxmlformats.org/officeDocument/2006/relationships/hyperlink" Target="https://themsls.org/project/2026-medical-affairs-perspectives-on-ai-for-actionable-insight-collection-and-analysis/" TargetMode="External" Id="rId9"/><Relationship Type="http://schemas.openxmlformats.org/officeDocument/2006/relationships/hyperlink" Target="https://aijourn.com/?p=438353" TargetMode="External" Id="rId10"/><Relationship Type="http://schemas.openxmlformats.org/officeDocument/2006/relationships/hyperlink" Target="https://www.medicalaffairsspecialist.org/bcmas" TargetMode="External" Id="rId11"/><Relationship Type="http://schemas.openxmlformats.org/officeDocument/2006/relationships/hyperlink" Target="https://www.medicalaffairsspecialist.org/certifications/bcmas/faq" TargetMode="External" Id="rId12"/><Relationship Type="http://schemas.openxmlformats.org/officeDocument/2006/relationships/hyperlink" Target="https://www.medicalaffairsspecialist.org/certifications/certificate-programs/accelerated-medical-science-liaison" TargetMode="External" Id="rId13"/><Relationship Type="http://schemas.openxmlformats.org/officeDocument/2006/relationships/hyperlink" Target="https://www.medicalaffairsspecialist.org/certifications/bcmas/policies/credits" TargetMode="External" Id="rId14"/><Relationship Type="http://schemas.openxmlformats.org/officeDocument/2006/relationships/hyperlink" Target="https://www.acmalifesciences.org/" TargetMode="External" Id="rId15"/><Relationship Type="http://schemas.openxmlformats.org/officeDocument/2006/relationships/hyperlink" Target="https://www.medicalaffairsspecialist.org/privacy-policy" TargetMode="External" Id="rId16"/><Relationship Type="http://schemas.openxmlformats.org/officeDocument/2006/relationships/hyperlink" Target="https://www.medicalaffairsspecialist.org/" TargetMode="External" Id="rId17"/><Relationship Type="http://schemas.openxmlformats.org/officeDocument/2006/relationships/hyperlink" Target="https://www.medicalaffairsspecialist.org/certifications/free-course" TargetMode="External" Id="rId18"/><Relationship Type="http://schemas.openxmlformats.org/officeDocument/2006/relationships/hyperlink" Target="https://medicalaffairs.org/webinar-ai-reshaping-msl-workflows/" TargetMode="External" Id="rId19"/><Relationship Type="http://schemas.openxmlformats.org/officeDocument/2006/relationships/hyperlink" Target="https://medicalaffairs.org/medical-affairs-training/" TargetMode="External" Id="rId20"/><Relationship Type="http://schemas.openxmlformats.org/officeDocument/2006/relationships/hyperlink" Target="https://medicalaffairs.org/category/content-hub/search-by-type/e-learning-courses/" TargetMode="External" Id="rId21"/><Relationship Type="http://schemas.openxmlformats.org/officeDocument/2006/relationships/hyperlink" Target="https://medicalaffairs.org/podcasts/from-ai-black-box-to-audit-ready-medical-affairs/" TargetMode="External" Id="rId22"/><Relationship Type="http://schemas.openxmlformats.org/officeDocument/2006/relationships/hyperlink" Target="https://medicalaffairs.org/elevate-articles/ai-audit-framework-medical-affairs-professionals/" TargetMode="External" Id="rId23"/><Relationship Type="http://schemas.openxmlformats.org/officeDocument/2006/relationships/hyperlink" Target="https://medicalaffairs.org/events/maps-fm-sunday" TargetMode="External" Id="rId24"/><Relationship Type="http://schemas.openxmlformats.org/officeDocument/2006/relationships/hyperlink" Target="https://medicalaffairs.org/privacy-policy/" TargetMode="External" Id="rId25"/><Relationship Type="http://schemas.openxmlformats.org/officeDocument/2006/relationships/hyperlink" Target="https://medicalaffairs.org/white-papers/enabling-ai-digital-transformation/" TargetMode="External" Id="rId26"/><Relationship Type="http://schemas.openxmlformats.org/officeDocument/2006/relationships/hyperlink" Target="https://medicalaffairs.org/membership/" TargetMode="External" Id="rId27"/><Relationship Type="http://schemas.openxmlformats.org/officeDocument/2006/relationships/hyperlink" Target="https://www.celforpharma.com/course/ai-medical-affairs-course" TargetMode="External" Id="rId28"/><Relationship Type="http://schemas.openxmlformats.org/officeDocument/2006/relationships/hyperlink" Target="https://www.celforpharma.com/about-us" TargetMode="External" Id="rId29"/><Relationship Type="http://schemas.openxmlformats.org/officeDocument/2006/relationships/hyperlink" Target="https://www.celforpharma.com" TargetMode="External" Id="rId30"/><Relationship Type="http://schemas.openxmlformats.org/officeDocument/2006/relationships/hyperlink" Target="https://eularis.com/ai-training-in-pharma/" TargetMode="External" Id="rId31"/><Relationship Type="http://schemas.openxmlformats.org/officeDocument/2006/relationships/hyperlink" Target="https://www.eularis.com" TargetMode="External" Id="rId32"/><Relationship Type="http://schemas.openxmlformats.org/officeDocument/2006/relationships/hyperlink" Target="https://eularis.com/membership/" TargetMode="External" Id="rId33"/><Relationship Type="http://schemas.openxmlformats.org/officeDocument/2006/relationships/hyperlink" Target="https://eularis.com/privacy-policy/" TargetMode="External" Id="rId34"/><Relationship Type="http://schemas.openxmlformats.org/officeDocument/2006/relationships/hyperlink" Target="https://medicalaffairsvalue.com/blog/ai-agents-made-simple-for-medical-affairs/" TargetMode="External" Id="rId35"/><Relationship Type="http://schemas.openxmlformats.org/officeDocument/2006/relationships/hyperlink" Target="https://www.mslmastery.com/training" TargetMode="External" Id="rId36"/><Relationship Type="http://schemas.openxmlformats.org/officeDocument/2006/relationships/hyperlink" Target="https://mslmastery.com" TargetMode="External" Id="rId37"/><Relationship Type="http://schemas.openxmlformats.org/officeDocument/2006/relationships/hyperlink" Target="https://www.mslmastery.com/offers/E5fiZ28U/checkout" TargetMode="External" Id="rId38"/><Relationship Type="http://schemas.openxmlformats.org/officeDocument/2006/relationships/hyperlink" Target="https://medicalaffairsvalue.com/blog/why-medical-affairs-needs-to-learn-ai-agents-now/" TargetMode="External" Id="rId39"/><Relationship Type="http://schemas.openxmlformats.org/officeDocument/2006/relationships/hyperlink" Target="https://medicalaffairsvalue.com/blog" TargetMode="External" Id="rId40"/><Relationship Type="http://schemas.openxmlformats.org/officeDocument/2006/relationships/hyperlink" Target="https://www.diaglobal.org/en/course-listing/webinar/2026/04/dia-direct-from-ai-experiment-to-strategic-advantage-future-proofing-msl-engagement" TargetMode="External" Id="rId41"/><Relationship Type="http://schemas.openxmlformats.org/officeDocument/2006/relationships/hyperlink" Target="https://www.diaglobal.org/en/course-listing/training/2026/04/integrating-ai-into-medical-affairs-workflows-for-efficiency-and-impact/faculty" TargetMode="External" Id="rId42"/><Relationship Type="http://schemas.openxmlformats.org/officeDocument/2006/relationships/hyperlink" Target="https://www.mslmastery.com/privacy-policy" TargetMode="External" Id="rId43"/><Relationship Type="http://schemas.openxmlformats.org/officeDocument/2006/relationships/hyperlink" Target="https://fiercepharmaengage2025.sched.com/event/1s6Gj/workshop-ai-in-action-practical-strategies-for-msls-to-enhance-engagement-and-insights" TargetMode="External" Id="rId44"/><Relationship Type="http://schemas.openxmlformats.org/officeDocument/2006/relationships/hyperlink" Target="https://medicalaffairsvalue.com" TargetMode="External" Id="rId45"/><Relationship Type="http://schemas.openxmlformats.org/officeDocument/2006/relationships/hyperlink" Target="https://inizio.com/insights/how-ai-improves-training-for-msls-and-sales-reps/" TargetMode="External" Id="rId46"/><Relationship Type="http://schemas.openxmlformats.org/officeDocument/2006/relationships/hyperlink" Target="https://inizio.com/insights/elevate-msl-performance/" TargetMode="External" Id="rId47"/><Relationship Type="http://schemas.openxmlformats.org/officeDocument/2006/relationships/hyperlink" Target="https://inizio.com/insights/inizio-medical-launches-ion-ai-to-transform-medical-affairs-capabilities/" TargetMode="External" Id="rId48"/><Relationship Type="http://schemas.openxmlformats.org/officeDocument/2006/relationships/hyperlink" Target="https://inizio.com/insights/generative-ai-msl-training-first-mover-advantage/" TargetMode="External" Id="rId49"/><Relationship Type="http://schemas.openxmlformats.org/officeDocument/2006/relationships/hyperlink" Target="https://pme.pmlive.com/articles/d81e4176-10b9-11f1-bac2-4201ac1fa007" TargetMode="External" Id="rId50"/><Relationship Type="http://schemas.openxmlformats.org/officeDocument/2006/relationships/hyperlink" Target="https://www.sectionai.com/courses/all-courses" TargetMode="External" Id="rId51"/><Relationship Type="http://schemas.openxmlformats.org/officeDocument/2006/relationships/hyperlink" Target="https://www.sectionai.com/blog/benchmarking-sections-ai-proficiency" TargetMode="External" Id="rId52"/><Relationship Type="http://schemas.openxmlformats.org/officeDocument/2006/relationships/hyperlink" Target="https://www.sectionai.com/pricing" TargetMode="External" Id="rId53"/><Relationship Type="http://schemas.openxmlformats.org/officeDocument/2006/relationships/hyperlink" Target="https://www.sectionai.com/" TargetMode="External" Id="rId54"/><Relationship Type="http://schemas.openxmlformats.org/officeDocument/2006/relationships/hyperlink" Target="https://www.sectionai.com/events/live-events/the-state-of-ai-proficiency-in-the-enterprise-2" TargetMode="External" Id="rId55"/><Relationship Type="http://schemas.openxmlformats.org/officeDocument/2006/relationships/hyperlink" Target="https://www.credly.com/org/section/badge/section-profai-ai-proficiency" TargetMode="External" Id="rId56"/><Relationship Type="http://schemas.openxmlformats.org/officeDocument/2006/relationships/hyperlink" Target="https://www.sectionai.com/legal/platform-privacy-notice" TargetMode="External" Id="rId57"/><Relationship Type="http://schemas.openxmlformats.org/officeDocument/2006/relationships/hyperlink" Target="https://www.credly.com/org/section/badge/section-x-havas-profai-ai-proficiency" TargetMode="External" Id="rId58"/><Relationship Type="http://schemas.openxmlformats.org/officeDocument/2006/relationships/hyperlink" Target="https://themsljournal.com/article/msl-salary-and-compensation-2022-data-from-medical-science-liaisons-and-msl-management-roles-in-the-united-states/" TargetMode="External" Id="rId59"/><Relationship Type="http://schemas.openxmlformats.org/officeDocument/2006/relationships/hyperlink" Target="https://www.bplogix.com/2026-med-affairs-survey" TargetMode="External" Id="rId60"/><Relationship Type="http://schemas.openxmlformats.org/officeDocument/2006/relationships/hyperlink" Target="https://www.veeva.com/eu/resources/how-ai-is-changing-kol-behavior/" TargetMode="External" Id="rId61"/><Relationship Type="http://schemas.openxmlformats.org/officeDocument/2006/relationships/hyperlink" Target="https://trainingmag.com/2025-training-industry-report/" TargetMode="External" Id="rId62"/><Relationship Type="http://schemas.openxmlformats.org/officeDocument/2006/relationships/hyperlink" Target="https://www.celforpharma.com/course/ai-medical-affairs-course" TargetMode="External" Id="rId63"/><Relationship Type="http://schemas.openxmlformats.org/officeDocument/2006/relationships/hyperlink" Target="https://www.sectionai.com/pricing" TargetMode="External" Id="rId64"/></Relationships>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6" customWidth="1" min="1" max="1"/>
    <col width="120" customWidth="1" min="2" max="2"/>
  </cols>
  <sheetData>
    <row r="1">
      <c r="A1" s="1" t="inlineStr">
        <is>
          <t>MSL AI Skills training platform — competitive benchmark</t>
        </is>
      </c>
    </row>
    <row r="2">
      <c r="A2" s="2" t="inlineStr">
        <is>
          <t>Thematica AI LLC · prepared for Dr. Abdulai Jawo Bah · October 2026</t>
        </is>
      </c>
    </row>
    <row r="4">
      <c r="A4" s="3" t="inlineStr">
        <is>
          <t>Purpose</t>
        </is>
      </c>
      <c r="B4" s="4" t="inlineStr">
        <is>
          <t>Benchmark the planned MSL AI Skills training platform (hands-on AI upskilling for US Medical Science Liaisons: prompting → workflows → vibe coding → agents → automation, compliance-embedded, certified) against the players that sell AI training to MSLs and medical affairs today.</t>
        </is>
      </c>
    </row>
    <row r="5">
      <c r="A5" s="3" t="inlineStr">
        <is>
          <t>How to use</t>
        </is>
      </c>
      <c r="B5" s="4" t="inlineStr">
        <is>
          <t>Read Summary for the ranking and gate failures, Gap analysis for the white space, Roadmap ceiling for what the product can realistically earn by phase. Change a score or weight on Rubric or Summary and every sheet recalculates.</t>
        </is>
      </c>
    </row>
    <row r="6">
      <c r="A6" s="3" t="inlineStr">
        <is>
          <t>Cells to edit (yellow only)</t>
        </is>
      </c>
      <c r="B6" s="4" t="inlineStr">
        <is>
          <t>Rubric: weights, gate flags and scores. Summary: domain weights. Viability: scores. Roadmap ceiling: phase scores. Blue text = input. Everything else is formula.</t>
        </is>
      </c>
    </row>
    <row r="7">
      <c r="A7" s="3" t="inlineStr">
        <is>
          <t>Score 0 / 1 / 2 / 3</t>
        </is>
      </c>
      <c r="B7" s="4" t="inlineStr">
        <is>
          <t>0 = absent or no evidence found. 1 = mentioned or minimal. 2 = partial, real but incomplete. 3 = matches 'What a 3 looks like' on Rubric.</t>
        </is>
      </c>
    </row>
    <row r="8">
      <c r="A8" s="3" t="inlineStr">
        <is>
          <t>Criterion weight</t>
        </is>
      </c>
      <c r="B8" s="4" t="inlineStr">
        <is>
          <t>1 = useful, 2 = important, 3 = critical.</t>
        </is>
      </c>
    </row>
    <row r="9">
      <c r="A9" s="3" t="inlineStr">
        <is>
          <t>Domain weight (must total 100%)</t>
        </is>
      </c>
      <c r="B9" s="4" t="inlineStr">
        <is>
          <t>Set on Summary. Weight check shows OK only when the ten domain weights total 100%.</t>
        </is>
      </c>
    </row>
    <row r="10">
      <c r="A10" s="3" t="inlineStr">
        <is>
          <t>Gate criteria</t>
        </is>
      </c>
      <c r="B10" s="4" t="inlineStr">
        <is>
          <t>D1.1 anchored to real MSL tasks; D3.1 non-promotional/off-label/PhRMA guardrails; D3.2 data governance (PHI, embargoed data, sanctioned tools); D3.3 pharmacovigilance AE routing; D5.1 performance-based assessment. A gate below 2 is a gate failure whatever the total.</t>
        </is>
      </c>
    </row>
    <row r="11">
      <c r="A11" s="3" t="inlineStr">
        <is>
          <t>Domain score</t>
        </is>
      </c>
      <c r="B11" s="4" t="inlineStr">
        <is>
          <t>Sum of (criterion weight × score) ÷ (sum of criterion weights × 3) for criteria in that domain. Overall = domain scores weighted by domain weights.</t>
        </is>
      </c>
    </row>
    <row r="12">
      <c r="A12" s="3" t="inlineStr">
        <is>
          <t>Evidence standard</t>
        </is>
      </c>
      <c r="B12" s="4" t="inlineStr">
        <is>
          <t>Competitor scores come only from public pages opened in October 2026 (course pages, pricing, privacy/trust pages, press). No evidence = 0 or 1, noted 'no evidence found'. A low score can mean 'not documented', not 'cannot do'.</t>
        </is>
      </c>
    </row>
    <row r="13">
      <c r="A13" s="3" t="inlineStr">
        <is>
          <t>How MSL AI Skills was scored</t>
        </is>
      </c>
      <c r="B13" s="4" t="inlineStr">
        <is>
          <t>It does not exist yet: no live site, course or pilot. It is entered as a DESIGN TARGET (all 3s) taken from the founder's meta-prompt (Aug 2026). It is not ranked and must not be presented as an evidence-based score. Roadmap ceiling gives a realistic per-phase estimate instead.</t>
        </is>
      </c>
    </row>
    <row r="14">
      <c r="A14" s="3" t="inlineStr">
        <is>
          <t>Bias note</t>
        </is>
      </c>
      <c r="B14" s="4" t="inlineStr">
        <is>
          <t>The rubric was written by the same reviewer who scored the product's targets, and it is shaped around the product's intended white space. Competitors built for other jobs (Inizio rehearsal, Section horizontal) score low by design of the rubric. Get an outside re-score, ideally by a medical-affairs L&amp;D buyer, before any public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showGridLines="0" workbookViewId="0">
      <selection activeCell="A1" sqref="A1"/>
    </sheetView>
  </sheetViews>
  <sheetFormatPr baseColWidth="8" defaultRowHeight="15"/>
  <cols>
    <col width="38"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Summary — weighted scores by domain</t>
        </is>
      </c>
    </row>
    <row r="2">
      <c r="A2" s="2" t="inlineStr">
        <is>
          <t>Domain score = weighted criterion scores ÷ (weights × 3). The design-target column is not ranked. Edit domain weights (yellow); they must total 100%.</t>
        </is>
      </c>
    </row>
    <row r="4" ht="42" customHeight="1">
      <c r="A4" s="5" t="inlineStr">
        <is>
          <t>Domain</t>
        </is>
      </c>
      <c r="B4" s="5" t="inlineStr">
        <is>
          <t>Domain weight</t>
        </is>
      </c>
      <c r="C4" s="5">
        <f>Rubric!G4</f>
        <v/>
      </c>
      <c r="D4" s="5">
        <f>Rubric!H4</f>
        <v/>
      </c>
      <c r="E4" s="5">
        <f>Rubric!I4</f>
        <v/>
      </c>
      <c r="F4" s="5">
        <f>Rubric!J4</f>
        <v/>
      </c>
      <c r="G4" s="5">
        <f>Rubric!K4</f>
        <v/>
      </c>
      <c r="H4" s="5">
        <f>Rubric!L4</f>
        <v/>
      </c>
      <c r="I4" s="5">
        <f>Rubric!M4</f>
        <v/>
      </c>
      <c r="J4" s="5">
        <f>Rubric!N4</f>
        <v/>
      </c>
      <c r="K4" s="5">
        <f>Rubric!O4</f>
        <v/>
      </c>
    </row>
    <row r="5">
      <c r="A5" s="4" t="inlineStr">
        <is>
          <t>MSL role specificity</t>
        </is>
      </c>
      <c r="B5" s="6" t="n">
        <v>0.1</v>
      </c>
      <c r="C5" s="7">
        <f>IFERROR(SUMPRODUCT((Rubric!$B$5:$B$46=$A5)*Rubric!$E$5:$E$46*Rubric!G$5:G$46)/(SUMPRODUCT((Rubric!$B$5:$B$46=$A5)*Rubric!$E$5:$E$46)*3),0)</f>
        <v/>
      </c>
      <c r="D5" s="7">
        <f>IFERROR(SUMPRODUCT((Rubric!$B$5:$B$46=$A5)*Rubric!$E$5:$E$46*Rubric!H$5:H$46)/(SUMPRODUCT((Rubric!$B$5:$B$46=$A5)*Rubric!$E$5:$E$46)*3),0)</f>
        <v/>
      </c>
      <c r="E5" s="7">
        <f>IFERROR(SUMPRODUCT((Rubric!$B$5:$B$46=$A5)*Rubric!$E$5:$E$46*Rubric!I$5:I$46)/(SUMPRODUCT((Rubric!$B$5:$B$46=$A5)*Rubric!$E$5:$E$46)*3),0)</f>
        <v/>
      </c>
      <c r="F5" s="7">
        <f>IFERROR(SUMPRODUCT((Rubric!$B$5:$B$46=$A5)*Rubric!$E$5:$E$46*Rubric!J$5:J$46)/(SUMPRODUCT((Rubric!$B$5:$B$46=$A5)*Rubric!$E$5:$E$46)*3),0)</f>
        <v/>
      </c>
      <c r="G5" s="7">
        <f>IFERROR(SUMPRODUCT((Rubric!$B$5:$B$46=$A5)*Rubric!$E$5:$E$46*Rubric!K$5:K$46)/(SUMPRODUCT((Rubric!$B$5:$B$46=$A5)*Rubric!$E$5:$E$46)*3),0)</f>
        <v/>
      </c>
      <c r="H5" s="7">
        <f>IFERROR(SUMPRODUCT((Rubric!$B$5:$B$46=$A5)*Rubric!$E$5:$E$46*Rubric!L$5:L$46)/(SUMPRODUCT((Rubric!$B$5:$B$46=$A5)*Rubric!$E$5:$E$46)*3),0)</f>
        <v/>
      </c>
      <c r="I5" s="7">
        <f>IFERROR(SUMPRODUCT((Rubric!$B$5:$B$46=$A5)*Rubric!$E$5:$E$46*Rubric!M$5:M$46)/(SUMPRODUCT((Rubric!$B$5:$B$46=$A5)*Rubric!$E$5:$E$46)*3),0)</f>
        <v/>
      </c>
      <c r="J5" s="7">
        <f>IFERROR(SUMPRODUCT((Rubric!$B$5:$B$46=$A5)*Rubric!$E$5:$E$46*Rubric!N$5:N$46)/(SUMPRODUCT((Rubric!$B$5:$B$46=$A5)*Rubric!$E$5:$E$46)*3),0)</f>
        <v/>
      </c>
      <c r="K5" s="7">
        <f>IFERROR(SUMPRODUCT((Rubric!$B$5:$B$46=$A5)*Rubric!$E$5:$E$46*Rubric!O$5:O$46)/(SUMPRODUCT((Rubric!$B$5:$B$46=$A5)*Rubric!$E$5:$E$46)*3),0)</f>
        <v/>
      </c>
    </row>
    <row r="6">
      <c r="A6" s="4" t="inlineStr">
        <is>
          <t>Hands-on depth across the AI stack</t>
        </is>
      </c>
      <c r="B6" s="6" t="n">
        <v>0.14</v>
      </c>
      <c r="C6" s="7">
        <f>IFERROR(SUMPRODUCT((Rubric!$B$5:$B$46=$A6)*Rubric!$E$5:$E$46*Rubric!G$5:G$46)/(SUMPRODUCT((Rubric!$B$5:$B$46=$A6)*Rubric!$E$5:$E$46)*3),0)</f>
        <v/>
      </c>
      <c r="D6" s="7">
        <f>IFERROR(SUMPRODUCT((Rubric!$B$5:$B$46=$A6)*Rubric!$E$5:$E$46*Rubric!H$5:H$46)/(SUMPRODUCT((Rubric!$B$5:$B$46=$A6)*Rubric!$E$5:$E$46)*3),0)</f>
        <v/>
      </c>
      <c r="E6" s="7">
        <f>IFERROR(SUMPRODUCT((Rubric!$B$5:$B$46=$A6)*Rubric!$E$5:$E$46*Rubric!I$5:I$46)/(SUMPRODUCT((Rubric!$B$5:$B$46=$A6)*Rubric!$E$5:$E$46)*3),0)</f>
        <v/>
      </c>
      <c r="F6" s="7">
        <f>IFERROR(SUMPRODUCT((Rubric!$B$5:$B$46=$A6)*Rubric!$E$5:$E$46*Rubric!J$5:J$46)/(SUMPRODUCT((Rubric!$B$5:$B$46=$A6)*Rubric!$E$5:$E$46)*3),0)</f>
        <v/>
      </c>
      <c r="G6" s="7">
        <f>IFERROR(SUMPRODUCT((Rubric!$B$5:$B$46=$A6)*Rubric!$E$5:$E$46*Rubric!K$5:K$46)/(SUMPRODUCT((Rubric!$B$5:$B$46=$A6)*Rubric!$E$5:$E$46)*3),0)</f>
        <v/>
      </c>
      <c r="H6" s="7">
        <f>IFERROR(SUMPRODUCT((Rubric!$B$5:$B$46=$A6)*Rubric!$E$5:$E$46*Rubric!L$5:L$46)/(SUMPRODUCT((Rubric!$B$5:$B$46=$A6)*Rubric!$E$5:$E$46)*3),0)</f>
        <v/>
      </c>
      <c r="I6" s="7">
        <f>IFERROR(SUMPRODUCT((Rubric!$B$5:$B$46=$A6)*Rubric!$E$5:$E$46*Rubric!M$5:M$46)/(SUMPRODUCT((Rubric!$B$5:$B$46=$A6)*Rubric!$E$5:$E$46)*3),0)</f>
        <v/>
      </c>
      <c r="J6" s="7">
        <f>IFERROR(SUMPRODUCT((Rubric!$B$5:$B$46=$A6)*Rubric!$E$5:$E$46*Rubric!N$5:N$46)/(SUMPRODUCT((Rubric!$B$5:$B$46=$A6)*Rubric!$E$5:$E$46)*3),0)</f>
        <v/>
      </c>
      <c r="K6" s="7">
        <f>IFERROR(SUMPRODUCT((Rubric!$B$5:$B$46=$A6)*Rubric!$E$5:$E$46*Rubric!O$5:O$46)/(SUMPRODUCT((Rubric!$B$5:$B$46=$A6)*Rubric!$E$5:$E$46)*3),0)</f>
        <v/>
      </c>
    </row>
    <row r="7">
      <c r="A7" s="4" t="inlineStr">
        <is>
          <t>Compliance embedded</t>
        </is>
      </c>
      <c r="B7" s="6" t="n">
        <v>0.14</v>
      </c>
      <c r="C7" s="7">
        <f>IFERROR(SUMPRODUCT((Rubric!$B$5:$B$46=$A7)*Rubric!$E$5:$E$46*Rubric!G$5:G$46)/(SUMPRODUCT((Rubric!$B$5:$B$46=$A7)*Rubric!$E$5:$E$46)*3),0)</f>
        <v/>
      </c>
      <c r="D7" s="7">
        <f>IFERROR(SUMPRODUCT((Rubric!$B$5:$B$46=$A7)*Rubric!$E$5:$E$46*Rubric!H$5:H$46)/(SUMPRODUCT((Rubric!$B$5:$B$46=$A7)*Rubric!$E$5:$E$46)*3),0)</f>
        <v/>
      </c>
      <c r="E7" s="7">
        <f>IFERROR(SUMPRODUCT((Rubric!$B$5:$B$46=$A7)*Rubric!$E$5:$E$46*Rubric!I$5:I$46)/(SUMPRODUCT((Rubric!$B$5:$B$46=$A7)*Rubric!$E$5:$E$46)*3),0)</f>
        <v/>
      </c>
      <c r="F7" s="7">
        <f>IFERROR(SUMPRODUCT((Rubric!$B$5:$B$46=$A7)*Rubric!$E$5:$E$46*Rubric!J$5:J$46)/(SUMPRODUCT((Rubric!$B$5:$B$46=$A7)*Rubric!$E$5:$E$46)*3),0)</f>
        <v/>
      </c>
      <c r="G7" s="7">
        <f>IFERROR(SUMPRODUCT((Rubric!$B$5:$B$46=$A7)*Rubric!$E$5:$E$46*Rubric!K$5:K$46)/(SUMPRODUCT((Rubric!$B$5:$B$46=$A7)*Rubric!$E$5:$E$46)*3),0)</f>
        <v/>
      </c>
      <c r="H7" s="7">
        <f>IFERROR(SUMPRODUCT((Rubric!$B$5:$B$46=$A7)*Rubric!$E$5:$E$46*Rubric!L$5:L$46)/(SUMPRODUCT((Rubric!$B$5:$B$46=$A7)*Rubric!$E$5:$E$46)*3),0)</f>
        <v/>
      </c>
      <c r="I7" s="7">
        <f>IFERROR(SUMPRODUCT((Rubric!$B$5:$B$46=$A7)*Rubric!$E$5:$E$46*Rubric!M$5:M$46)/(SUMPRODUCT((Rubric!$B$5:$B$46=$A7)*Rubric!$E$5:$E$46)*3),0)</f>
        <v/>
      </c>
      <c r="J7" s="7">
        <f>IFERROR(SUMPRODUCT((Rubric!$B$5:$B$46=$A7)*Rubric!$E$5:$E$46*Rubric!N$5:N$46)/(SUMPRODUCT((Rubric!$B$5:$B$46=$A7)*Rubric!$E$5:$E$46)*3),0)</f>
        <v/>
      </c>
      <c r="K7" s="7">
        <f>IFERROR(SUMPRODUCT((Rubric!$B$5:$B$46=$A7)*Rubric!$E$5:$E$46*Rubric!O$5:O$46)/(SUMPRODUCT((Rubric!$B$5:$B$46=$A7)*Rubric!$E$5:$E$46)*3),0)</f>
        <v/>
      </c>
    </row>
    <row r="8">
      <c r="A8" s="4" t="inlineStr">
        <is>
          <t>Learning design for a field schedule</t>
        </is>
      </c>
      <c r="B8" s="6" t="n">
        <v>0.1</v>
      </c>
      <c r="C8" s="7">
        <f>IFERROR(SUMPRODUCT((Rubric!$B$5:$B$46=$A8)*Rubric!$E$5:$E$46*Rubric!G$5:G$46)/(SUMPRODUCT((Rubric!$B$5:$B$46=$A8)*Rubric!$E$5:$E$46)*3),0)</f>
        <v/>
      </c>
      <c r="D8" s="7">
        <f>IFERROR(SUMPRODUCT((Rubric!$B$5:$B$46=$A8)*Rubric!$E$5:$E$46*Rubric!H$5:H$46)/(SUMPRODUCT((Rubric!$B$5:$B$46=$A8)*Rubric!$E$5:$E$46)*3),0)</f>
        <v/>
      </c>
      <c r="E8" s="7">
        <f>IFERROR(SUMPRODUCT((Rubric!$B$5:$B$46=$A8)*Rubric!$E$5:$E$46*Rubric!I$5:I$46)/(SUMPRODUCT((Rubric!$B$5:$B$46=$A8)*Rubric!$E$5:$E$46)*3),0)</f>
        <v/>
      </c>
      <c r="F8" s="7">
        <f>IFERROR(SUMPRODUCT((Rubric!$B$5:$B$46=$A8)*Rubric!$E$5:$E$46*Rubric!J$5:J$46)/(SUMPRODUCT((Rubric!$B$5:$B$46=$A8)*Rubric!$E$5:$E$46)*3),0)</f>
        <v/>
      </c>
      <c r="G8" s="7">
        <f>IFERROR(SUMPRODUCT((Rubric!$B$5:$B$46=$A8)*Rubric!$E$5:$E$46*Rubric!K$5:K$46)/(SUMPRODUCT((Rubric!$B$5:$B$46=$A8)*Rubric!$E$5:$E$46)*3),0)</f>
        <v/>
      </c>
      <c r="H8" s="7">
        <f>IFERROR(SUMPRODUCT((Rubric!$B$5:$B$46=$A8)*Rubric!$E$5:$E$46*Rubric!L$5:L$46)/(SUMPRODUCT((Rubric!$B$5:$B$46=$A8)*Rubric!$E$5:$E$46)*3),0)</f>
        <v/>
      </c>
      <c r="I8" s="7">
        <f>IFERROR(SUMPRODUCT((Rubric!$B$5:$B$46=$A8)*Rubric!$E$5:$E$46*Rubric!M$5:M$46)/(SUMPRODUCT((Rubric!$B$5:$B$46=$A8)*Rubric!$E$5:$E$46)*3),0)</f>
        <v/>
      </c>
      <c r="J8" s="7">
        <f>IFERROR(SUMPRODUCT((Rubric!$B$5:$B$46=$A8)*Rubric!$E$5:$E$46*Rubric!N$5:N$46)/(SUMPRODUCT((Rubric!$B$5:$B$46=$A8)*Rubric!$E$5:$E$46)*3),0)</f>
        <v/>
      </c>
      <c r="K8" s="7">
        <f>IFERROR(SUMPRODUCT((Rubric!$B$5:$B$46=$A8)*Rubric!$E$5:$E$46*Rubric!O$5:O$46)/(SUMPRODUCT((Rubric!$B$5:$B$46=$A8)*Rubric!$E$5:$E$46)*3),0)</f>
        <v/>
      </c>
    </row>
    <row r="9">
      <c r="A9" s="4" t="inlineStr">
        <is>
          <t>Assessment and credential</t>
        </is>
      </c>
      <c r="B9" s="6" t="n">
        <v>0.12</v>
      </c>
      <c r="C9" s="7">
        <f>IFERROR(SUMPRODUCT((Rubric!$B$5:$B$46=$A9)*Rubric!$E$5:$E$46*Rubric!G$5:G$46)/(SUMPRODUCT((Rubric!$B$5:$B$46=$A9)*Rubric!$E$5:$E$46)*3),0)</f>
        <v/>
      </c>
      <c r="D9" s="7">
        <f>IFERROR(SUMPRODUCT((Rubric!$B$5:$B$46=$A9)*Rubric!$E$5:$E$46*Rubric!H$5:H$46)/(SUMPRODUCT((Rubric!$B$5:$B$46=$A9)*Rubric!$E$5:$E$46)*3),0)</f>
        <v/>
      </c>
      <c r="E9" s="7">
        <f>IFERROR(SUMPRODUCT((Rubric!$B$5:$B$46=$A9)*Rubric!$E$5:$E$46*Rubric!I$5:I$46)/(SUMPRODUCT((Rubric!$B$5:$B$46=$A9)*Rubric!$E$5:$E$46)*3),0)</f>
        <v/>
      </c>
      <c r="F9" s="7">
        <f>IFERROR(SUMPRODUCT((Rubric!$B$5:$B$46=$A9)*Rubric!$E$5:$E$46*Rubric!J$5:J$46)/(SUMPRODUCT((Rubric!$B$5:$B$46=$A9)*Rubric!$E$5:$E$46)*3),0)</f>
        <v/>
      </c>
      <c r="G9" s="7">
        <f>IFERROR(SUMPRODUCT((Rubric!$B$5:$B$46=$A9)*Rubric!$E$5:$E$46*Rubric!K$5:K$46)/(SUMPRODUCT((Rubric!$B$5:$B$46=$A9)*Rubric!$E$5:$E$46)*3),0)</f>
        <v/>
      </c>
      <c r="H9" s="7">
        <f>IFERROR(SUMPRODUCT((Rubric!$B$5:$B$46=$A9)*Rubric!$E$5:$E$46*Rubric!L$5:L$46)/(SUMPRODUCT((Rubric!$B$5:$B$46=$A9)*Rubric!$E$5:$E$46)*3),0)</f>
        <v/>
      </c>
      <c r="I9" s="7">
        <f>IFERROR(SUMPRODUCT((Rubric!$B$5:$B$46=$A9)*Rubric!$E$5:$E$46*Rubric!M$5:M$46)/(SUMPRODUCT((Rubric!$B$5:$B$46=$A9)*Rubric!$E$5:$E$46)*3),0)</f>
        <v/>
      </c>
      <c r="J9" s="7">
        <f>IFERROR(SUMPRODUCT((Rubric!$B$5:$B$46=$A9)*Rubric!$E$5:$E$46*Rubric!N$5:N$46)/(SUMPRODUCT((Rubric!$B$5:$B$46=$A9)*Rubric!$E$5:$E$46)*3),0)</f>
        <v/>
      </c>
      <c r="K9" s="7">
        <f>IFERROR(SUMPRODUCT((Rubric!$B$5:$B$46=$A9)*Rubric!$E$5:$E$46*Rubric!O$5:O$46)/(SUMPRODUCT((Rubric!$B$5:$B$46=$A9)*Rubric!$E$5:$E$46)*3),0)</f>
        <v/>
      </c>
    </row>
    <row r="10">
      <c r="A10" s="4" t="inlineStr">
        <is>
          <t>Outcomes and measurement</t>
        </is>
      </c>
      <c r="B10" s="6" t="n">
        <v>0.08</v>
      </c>
      <c r="C10" s="7">
        <f>IFERROR(SUMPRODUCT((Rubric!$B$5:$B$46=$A10)*Rubric!$E$5:$E$46*Rubric!G$5:G$46)/(SUMPRODUCT((Rubric!$B$5:$B$46=$A10)*Rubric!$E$5:$E$46)*3),0)</f>
        <v/>
      </c>
      <c r="D10" s="7">
        <f>IFERROR(SUMPRODUCT((Rubric!$B$5:$B$46=$A10)*Rubric!$E$5:$E$46*Rubric!H$5:H$46)/(SUMPRODUCT((Rubric!$B$5:$B$46=$A10)*Rubric!$E$5:$E$46)*3),0)</f>
        <v/>
      </c>
      <c r="E10" s="7">
        <f>IFERROR(SUMPRODUCT((Rubric!$B$5:$B$46=$A10)*Rubric!$E$5:$E$46*Rubric!I$5:I$46)/(SUMPRODUCT((Rubric!$B$5:$B$46=$A10)*Rubric!$E$5:$E$46)*3),0)</f>
        <v/>
      </c>
      <c r="F10" s="7">
        <f>IFERROR(SUMPRODUCT((Rubric!$B$5:$B$46=$A10)*Rubric!$E$5:$E$46*Rubric!J$5:J$46)/(SUMPRODUCT((Rubric!$B$5:$B$46=$A10)*Rubric!$E$5:$E$46)*3),0)</f>
        <v/>
      </c>
      <c r="G10" s="7">
        <f>IFERROR(SUMPRODUCT((Rubric!$B$5:$B$46=$A10)*Rubric!$E$5:$E$46*Rubric!K$5:K$46)/(SUMPRODUCT((Rubric!$B$5:$B$46=$A10)*Rubric!$E$5:$E$46)*3),0)</f>
        <v/>
      </c>
      <c r="H10" s="7">
        <f>IFERROR(SUMPRODUCT((Rubric!$B$5:$B$46=$A10)*Rubric!$E$5:$E$46*Rubric!L$5:L$46)/(SUMPRODUCT((Rubric!$B$5:$B$46=$A10)*Rubric!$E$5:$E$46)*3),0)</f>
        <v/>
      </c>
      <c r="I10" s="7">
        <f>IFERROR(SUMPRODUCT((Rubric!$B$5:$B$46=$A10)*Rubric!$E$5:$E$46*Rubric!M$5:M$46)/(SUMPRODUCT((Rubric!$B$5:$B$46=$A10)*Rubric!$E$5:$E$46)*3),0)</f>
        <v/>
      </c>
      <c r="J10" s="7">
        <f>IFERROR(SUMPRODUCT((Rubric!$B$5:$B$46=$A10)*Rubric!$E$5:$E$46*Rubric!N$5:N$46)/(SUMPRODUCT((Rubric!$B$5:$B$46=$A10)*Rubric!$E$5:$E$46)*3),0)</f>
        <v/>
      </c>
      <c r="K10" s="7">
        <f>IFERROR(SUMPRODUCT((Rubric!$B$5:$B$46=$A10)*Rubric!$E$5:$E$46*Rubric!O$5:O$46)/(SUMPRODUCT((Rubric!$B$5:$B$46=$A10)*Rubric!$E$5:$E$46)*3),0)</f>
        <v/>
      </c>
    </row>
    <row r="11">
      <c r="A11" s="4" t="inlineStr">
        <is>
          <t>Currency and content quality</t>
        </is>
      </c>
      <c r="B11" s="6" t="n">
        <v>0.07000000000000001</v>
      </c>
      <c r="C11" s="7">
        <f>IFERROR(SUMPRODUCT((Rubric!$B$5:$B$46=$A11)*Rubric!$E$5:$E$46*Rubric!G$5:G$46)/(SUMPRODUCT((Rubric!$B$5:$B$46=$A11)*Rubric!$E$5:$E$46)*3),0)</f>
        <v/>
      </c>
      <c r="D11" s="7">
        <f>IFERROR(SUMPRODUCT((Rubric!$B$5:$B$46=$A11)*Rubric!$E$5:$E$46*Rubric!H$5:H$46)/(SUMPRODUCT((Rubric!$B$5:$B$46=$A11)*Rubric!$E$5:$E$46)*3),0)</f>
        <v/>
      </c>
      <c r="E11" s="7">
        <f>IFERROR(SUMPRODUCT((Rubric!$B$5:$B$46=$A11)*Rubric!$E$5:$E$46*Rubric!I$5:I$46)/(SUMPRODUCT((Rubric!$B$5:$B$46=$A11)*Rubric!$E$5:$E$46)*3),0)</f>
        <v/>
      </c>
      <c r="F11" s="7">
        <f>IFERROR(SUMPRODUCT((Rubric!$B$5:$B$46=$A11)*Rubric!$E$5:$E$46*Rubric!J$5:J$46)/(SUMPRODUCT((Rubric!$B$5:$B$46=$A11)*Rubric!$E$5:$E$46)*3),0)</f>
        <v/>
      </c>
      <c r="G11" s="7">
        <f>IFERROR(SUMPRODUCT((Rubric!$B$5:$B$46=$A11)*Rubric!$E$5:$E$46*Rubric!K$5:K$46)/(SUMPRODUCT((Rubric!$B$5:$B$46=$A11)*Rubric!$E$5:$E$46)*3),0)</f>
        <v/>
      </c>
      <c r="H11" s="7">
        <f>IFERROR(SUMPRODUCT((Rubric!$B$5:$B$46=$A11)*Rubric!$E$5:$E$46*Rubric!L$5:L$46)/(SUMPRODUCT((Rubric!$B$5:$B$46=$A11)*Rubric!$E$5:$E$46)*3),0)</f>
        <v/>
      </c>
      <c r="I11" s="7">
        <f>IFERROR(SUMPRODUCT((Rubric!$B$5:$B$46=$A11)*Rubric!$E$5:$E$46*Rubric!M$5:M$46)/(SUMPRODUCT((Rubric!$B$5:$B$46=$A11)*Rubric!$E$5:$E$46)*3),0)</f>
        <v/>
      </c>
      <c r="J11" s="7">
        <f>IFERROR(SUMPRODUCT((Rubric!$B$5:$B$46=$A11)*Rubric!$E$5:$E$46*Rubric!N$5:N$46)/(SUMPRODUCT((Rubric!$B$5:$B$46=$A11)*Rubric!$E$5:$E$46)*3),0)</f>
        <v/>
      </c>
      <c r="K11" s="7">
        <f>IFERROR(SUMPRODUCT((Rubric!$B$5:$B$46=$A11)*Rubric!$E$5:$E$46*Rubric!O$5:O$46)/(SUMPRODUCT((Rubric!$B$5:$B$46=$A11)*Rubric!$E$5:$E$46)*3),0)</f>
        <v/>
      </c>
    </row>
    <row r="12">
      <c r="A12" s="4" t="inlineStr">
        <is>
          <t>Enterprise readiness and trust</t>
        </is>
      </c>
      <c r="B12" s="6" t="n">
        <v>0.1</v>
      </c>
      <c r="C12" s="7">
        <f>IFERROR(SUMPRODUCT((Rubric!$B$5:$B$46=$A12)*Rubric!$E$5:$E$46*Rubric!G$5:G$46)/(SUMPRODUCT((Rubric!$B$5:$B$46=$A12)*Rubric!$E$5:$E$46)*3),0)</f>
        <v/>
      </c>
      <c r="D12" s="7">
        <f>IFERROR(SUMPRODUCT((Rubric!$B$5:$B$46=$A12)*Rubric!$E$5:$E$46*Rubric!H$5:H$46)/(SUMPRODUCT((Rubric!$B$5:$B$46=$A12)*Rubric!$E$5:$E$46)*3),0)</f>
        <v/>
      </c>
      <c r="E12" s="7">
        <f>IFERROR(SUMPRODUCT((Rubric!$B$5:$B$46=$A12)*Rubric!$E$5:$E$46*Rubric!I$5:I$46)/(SUMPRODUCT((Rubric!$B$5:$B$46=$A12)*Rubric!$E$5:$E$46)*3),0)</f>
        <v/>
      </c>
      <c r="F12" s="7">
        <f>IFERROR(SUMPRODUCT((Rubric!$B$5:$B$46=$A12)*Rubric!$E$5:$E$46*Rubric!J$5:J$46)/(SUMPRODUCT((Rubric!$B$5:$B$46=$A12)*Rubric!$E$5:$E$46)*3),0)</f>
        <v/>
      </c>
      <c r="G12" s="7">
        <f>IFERROR(SUMPRODUCT((Rubric!$B$5:$B$46=$A12)*Rubric!$E$5:$E$46*Rubric!K$5:K$46)/(SUMPRODUCT((Rubric!$B$5:$B$46=$A12)*Rubric!$E$5:$E$46)*3),0)</f>
        <v/>
      </c>
      <c r="H12" s="7">
        <f>IFERROR(SUMPRODUCT((Rubric!$B$5:$B$46=$A12)*Rubric!$E$5:$E$46*Rubric!L$5:L$46)/(SUMPRODUCT((Rubric!$B$5:$B$46=$A12)*Rubric!$E$5:$E$46)*3),0)</f>
        <v/>
      </c>
      <c r="I12" s="7">
        <f>IFERROR(SUMPRODUCT((Rubric!$B$5:$B$46=$A12)*Rubric!$E$5:$E$46*Rubric!M$5:M$46)/(SUMPRODUCT((Rubric!$B$5:$B$46=$A12)*Rubric!$E$5:$E$46)*3),0)</f>
        <v/>
      </c>
      <c r="J12" s="7">
        <f>IFERROR(SUMPRODUCT((Rubric!$B$5:$B$46=$A12)*Rubric!$E$5:$E$46*Rubric!N$5:N$46)/(SUMPRODUCT((Rubric!$B$5:$B$46=$A12)*Rubric!$E$5:$E$46)*3),0)</f>
        <v/>
      </c>
      <c r="K12" s="7">
        <f>IFERROR(SUMPRODUCT((Rubric!$B$5:$B$46=$A12)*Rubric!$E$5:$E$46*Rubric!O$5:O$46)/(SUMPRODUCT((Rubric!$B$5:$B$46=$A12)*Rubric!$E$5:$E$46)*3),0)</f>
        <v/>
      </c>
    </row>
    <row r="13">
      <c r="A13" s="4" t="inlineStr">
        <is>
          <t>Reach, scale and access</t>
        </is>
      </c>
      <c r="B13" s="6" t="n">
        <v>0.08</v>
      </c>
      <c r="C13" s="7">
        <f>IFERROR(SUMPRODUCT((Rubric!$B$5:$B$46=$A13)*Rubric!$E$5:$E$46*Rubric!G$5:G$46)/(SUMPRODUCT((Rubric!$B$5:$B$46=$A13)*Rubric!$E$5:$E$46)*3),0)</f>
        <v/>
      </c>
      <c r="D13" s="7">
        <f>IFERROR(SUMPRODUCT((Rubric!$B$5:$B$46=$A13)*Rubric!$E$5:$E$46*Rubric!H$5:H$46)/(SUMPRODUCT((Rubric!$B$5:$B$46=$A13)*Rubric!$E$5:$E$46)*3),0)</f>
        <v/>
      </c>
      <c r="E13" s="7">
        <f>IFERROR(SUMPRODUCT((Rubric!$B$5:$B$46=$A13)*Rubric!$E$5:$E$46*Rubric!I$5:I$46)/(SUMPRODUCT((Rubric!$B$5:$B$46=$A13)*Rubric!$E$5:$E$46)*3),0)</f>
        <v/>
      </c>
      <c r="F13" s="7">
        <f>IFERROR(SUMPRODUCT((Rubric!$B$5:$B$46=$A13)*Rubric!$E$5:$E$46*Rubric!J$5:J$46)/(SUMPRODUCT((Rubric!$B$5:$B$46=$A13)*Rubric!$E$5:$E$46)*3),0)</f>
        <v/>
      </c>
      <c r="G13" s="7">
        <f>IFERROR(SUMPRODUCT((Rubric!$B$5:$B$46=$A13)*Rubric!$E$5:$E$46*Rubric!K$5:K$46)/(SUMPRODUCT((Rubric!$B$5:$B$46=$A13)*Rubric!$E$5:$E$46)*3),0)</f>
        <v/>
      </c>
      <c r="H13" s="7">
        <f>IFERROR(SUMPRODUCT((Rubric!$B$5:$B$46=$A13)*Rubric!$E$5:$E$46*Rubric!L$5:L$46)/(SUMPRODUCT((Rubric!$B$5:$B$46=$A13)*Rubric!$E$5:$E$46)*3),0)</f>
        <v/>
      </c>
      <c r="I13" s="7">
        <f>IFERROR(SUMPRODUCT((Rubric!$B$5:$B$46=$A13)*Rubric!$E$5:$E$46*Rubric!M$5:M$46)/(SUMPRODUCT((Rubric!$B$5:$B$46=$A13)*Rubric!$E$5:$E$46)*3),0)</f>
        <v/>
      </c>
      <c r="J13" s="7">
        <f>IFERROR(SUMPRODUCT((Rubric!$B$5:$B$46=$A13)*Rubric!$E$5:$E$46*Rubric!N$5:N$46)/(SUMPRODUCT((Rubric!$B$5:$B$46=$A13)*Rubric!$E$5:$E$46)*3),0)</f>
        <v/>
      </c>
      <c r="K13" s="7">
        <f>IFERROR(SUMPRODUCT((Rubric!$B$5:$B$46=$A13)*Rubric!$E$5:$E$46*Rubric!O$5:O$46)/(SUMPRODUCT((Rubric!$B$5:$B$46=$A13)*Rubric!$E$5:$E$46)*3),0)</f>
        <v/>
      </c>
    </row>
    <row r="14">
      <c r="A14" s="4" t="inlineStr">
        <is>
          <t>Commercial transparency and value</t>
        </is>
      </c>
      <c r="B14" s="6" t="n">
        <v>0.07000000000000001</v>
      </c>
      <c r="C14" s="7">
        <f>IFERROR(SUMPRODUCT((Rubric!$B$5:$B$46=$A14)*Rubric!$E$5:$E$46*Rubric!G$5:G$46)/(SUMPRODUCT((Rubric!$B$5:$B$46=$A14)*Rubric!$E$5:$E$46)*3),0)</f>
        <v/>
      </c>
      <c r="D14" s="7">
        <f>IFERROR(SUMPRODUCT((Rubric!$B$5:$B$46=$A14)*Rubric!$E$5:$E$46*Rubric!H$5:H$46)/(SUMPRODUCT((Rubric!$B$5:$B$46=$A14)*Rubric!$E$5:$E$46)*3),0)</f>
        <v/>
      </c>
      <c r="E14" s="7">
        <f>IFERROR(SUMPRODUCT((Rubric!$B$5:$B$46=$A14)*Rubric!$E$5:$E$46*Rubric!I$5:I$46)/(SUMPRODUCT((Rubric!$B$5:$B$46=$A14)*Rubric!$E$5:$E$46)*3),0)</f>
        <v/>
      </c>
      <c r="F14" s="7">
        <f>IFERROR(SUMPRODUCT((Rubric!$B$5:$B$46=$A14)*Rubric!$E$5:$E$46*Rubric!J$5:J$46)/(SUMPRODUCT((Rubric!$B$5:$B$46=$A14)*Rubric!$E$5:$E$46)*3),0)</f>
        <v/>
      </c>
      <c r="G14" s="7">
        <f>IFERROR(SUMPRODUCT((Rubric!$B$5:$B$46=$A14)*Rubric!$E$5:$E$46*Rubric!K$5:K$46)/(SUMPRODUCT((Rubric!$B$5:$B$46=$A14)*Rubric!$E$5:$E$46)*3),0)</f>
        <v/>
      </c>
      <c r="H14" s="7">
        <f>IFERROR(SUMPRODUCT((Rubric!$B$5:$B$46=$A14)*Rubric!$E$5:$E$46*Rubric!L$5:L$46)/(SUMPRODUCT((Rubric!$B$5:$B$46=$A14)*Rubric!$E$5:$E$46)*3),0)</f>
        <v/>
      </c>
      <c r="I14" s="7">
        <f>IFERROR(SUMPRODUCT((Rubric!$B$5:$B$46=$A14)*Rubric!$E$5:$E$46*Rubric!M$5:M$46)/(SUMPRODUCT((Rubric!$B$5:$B$46=$A14)*Rubric!$E$5:$E$46)*3),0)</f>
        <v/>
      </c>
      <c r="J14" s="7">
        <f>IFERROR(SUMPRODUCT((Rubric!$B$5:$B$46=$A14)*Rubric!$E$5:$E$46*Rubric!N$5:N$46)/(SUMPRODUCT((Rubric!$B$5:$B$46=$A14)*Rubric!$E$5:$E$46)*3),0)</f>
        <v/>
      </c>
      <c r="K14" s="7">
        <f>IFERROR(SUMPRODUCT((Rubric!$B$5:$B$46=$A14)*Rubric!$E$5:$E$46*Rubric!O$5:O$46)/(SUMPRODUCT((Rubric!$B$5:$B$46=$A14)*Rubric!$E$5:$E$46)*3),0)</f>
        <v/>
      </c>
    </row>
    <row r="15">
      <c r="A15" s="8" t="inlineStr">
        <is>
          <t>Weight total</t>
        </is>
      </c>
      <c r="B15" s="9">
        <f>SUM(B5:B14)</f>
        <v/>
      </c>
    </row>
    <row r="16">
      <c r="A16" s="8" t="inlineStr">
        <is>
          <t>Weight check</t>
        </is>
      </c>
      <c r="B16" s="10">
        <f>IF(ROUND(B15,4)=1,"OK","Adjust weights")</f>
        <v/>
      </c>
    </row>
    <row r="18">
      <c r="A18" s="8" t="inlineStr">
        <is>
          <t>OVERALL WEIGHTED SCORE</t>
        </is>
      </c>
      <c r="B18" s="11" t="inlineStr"/>
      <c r="C18" s="9">
        <f>SUMPRODUCT($B$5:$B$14,C5:C14)/SUM($B$5:$B$14)</f>
        <v/>
      </c>
      <c r="D18" s="9">
        <f>SUMPRODUCT($B$5:$B$14,D5:D14)/SUM($B$5:$B$14)</f>
        <v/>
      </c>
      <c r="E18" s="9">
        <f>SUMPRODUCT($B$5:$B$14,E5:E14)/SUM($B$5:$B$14)</f>
        <v/>
      </c>
      <c r="F18" s="9">
        <f>SUMPRODUCT($B$5:$B$14,F5:F14)/SUM($B$5:$B$14)</f>
        <v/>
      </c>
      <c r="G18" s="9">
        <f>SUMPRODUCT($B$5:$B$14,G5:G14)/SUM($B$5:$B$14)</f>
        <v/>
      </c>
      <c r="H18" s="9">
        <f>SUMPRODUCT($B$5:$B$14,H5:H14)/SUM($B$5:$B$14)</f>
        <v/>
      </c>
      <c r="I18" s="9">
        <f>SUMPRODUCT($B$5:$B$14,I5:I14)/SUM($B$5:$B$14)</f>
        <v/>
      </c>
      <c r="J18" s="9">
        <f>SUMPRODUCT($B$5:$B$14,J5:J14)/SUM($B$5:$B$14)</f>
        <v/>
      </c>
      <c r="K18" s="9">
        <f>SUMPRODUCT($B$5:$B$14,K5:K14)/SUM($B$5:$B$14)</f>
        <v/>
      </c>
    </row>
    <row r="19">
      <c r="A19" s="8" t="inlineStr">
        <is>
          <t>Rank (competitors only)</t>
        </is>
      </c>
      <c r="B19" s="11" t="inlineStr"/>
      <c r="C19" s="10">
        <f>RANK(C18,$C$18:$J$18)</f>
        <v/>
      </c>
      <c r="D19" s="10">
        <f>RANK(D18,$C$18:$J$18)</f>
        <v/>
      </c>
      <c r="E19" s="10">
        <f>RANK(E18,$C$18:$J$18)</f>
        <v/>
      </c>
      <c r="F19" s="10">
        <f>RANK(F18,$C$18:$J$18)</f>
        <v/>
      </c>
      <c r="G19" s="10">
        <f>RANK(G18,$C$18:$J$18)</f>
        <v/>
      </c>
      <c r="H19" s="10">
        <f>RANK(H18,$C$18:$J$18)</f>
        <v/>
      </c>
      <c r="I19" s="10">
        <f>RANK(I18,$C$18:$J$18)</f>
        <v/>
      </c>
      <c r="J19" s="10">
        <f>RANK(J18,$C$18:$J$18)</f>
        <v/>
      </c>
      <c r="K19" s="10" t="inlineStr">
        <is>
          <t>n/a — design target</t>
        </is>
      </c>
    </row>
    <row r="20">
      <c r="A20" s="8" t="inlineStr">
        <is>
          <t>Gate failures</t>
        </is>
      </c>
      <c r="B20" s="11" t="inlineStr"/>
      <c r="C20" s="10">
        <f>COUNTIFS(Rubric!$F$5:$F$46,"Y",Rubric!G$5:G$46,"&lt;2")</f>
        <v/>
      </c>
      <c r="D20" s="10">
        <f>COUNTIFS(Rubric!$F$5:$F$46,"Y",Rubric!H$5:H$46,"&lt;2")</f>
        <v/>
      </c>
      <c r="E20" s="10">
        <f>COUNTIFS(Rubric!$F$5:$F$46,"Y",Rubric!I$5:I$46,"&lt;2")</f>
        <v/>
      </c>
      <c r="F20" s="10">
        <f>COUNTIFS(Rubric!$F$5:$F$46,"Y",Rubric!J$5:J$46,"&lt;2")</f>
        <v/>
      </c>
      <c r="G20" s="10">
        <f>COUNTIFS(Rubric!$F$5:$F$46,"Y",Rubric!K$5:K$46,"&lt;2")</f>
        <v/>
      </c>
      <c r="H20" s="10">
        <f>COUNTIFS(Rubric!$F$5:$F$46,"Y",Rubric!L$5:L$46,"&lt;2")</f>
        <v/>
      </c>
      <c r="I20" s="10">
        <f>COUNTIFS(Rubric!$F$5:$F$46,"Y",Rubric!M$5:M$46,"&lt;2")</f>
        <v/>
      </c>
      <c r="J20" s="10">
        <f>COUNTIFS(Rubric!$F$5:$F$46,"Y",Rubric!N$5:N$46,"&lt;2")</f>
        <v/>
      </c>
      <c r="K20" s="10">
        <f>COUNTIFS(Rubric!$F$5:$F$46,"Y",Rubric!O$5:O$46,"&lt;2")</f>
        <v/>
      </c>
    </row>
    <row r="21">
      <c r="A21" s="8" t="inlineStr">
        <is>
          <t>Criteria scored</t>
        </is>
      </c>
      <c r="B21" s="11" t="inlineStr"/>
      <c r="C21" s="12">
        <f>COUNT(Rubric!G$5:G$46)&amp;" of 42"</f>
        <v/>
      </c>
      <c r="D21" s="12">
        <f>COUNT(Rubric!H$5:H$46)&amp;" of 42"</f>
        <v/>
      </c>
      <c r="E21" s="12">
        <f>COUNT(Rubric!I$5:I$46)&amp;" of 42"</f>
        <v/>
      </c>
      <c r="F21" s="12">
        <f>COUNT(Rubric!J$5:J$46)&amp;" of 42"</f>
        <v/>
      </c>
      <c r="G21" s="12">
        <f>COUNT(Rubric!K$5:K$46)&amp;" of 42"</f>
        <v/>
      </c>
      <c r="H21" s="12">
        <f>COUNT(Rubric!L$5:L$46)&amp;" of 42"</f>
        <v/>
      </c>
      <c r="I21" s="12">
        <f>COUNT(Rubric!M$5:M$46)&amp;" of 42"</f>
        <v/>
      </c>
      <c r="J21" s="12">
        <f>COUNT(Rubric!N$5:N$46)&amp;" of 42"</f>
        <v/>
      </c>
      <c r="K21" s="12">
        <f>COUNT(Rubric!O$5:O$46)&amp;" of 42"</f>
        <v/>
      </c>
    </row>
    <row r="23">
      <c r="A23" s="13" t="inlineStr">
        <is>
          <t>Gate criteria: D1.1, D3.1, D3.2, D3.3, D5.1. A gate scored below 2 is a gate failure whatever the total.</t>
        </is>
      </c>
    </row>
    <row r="24">
      <c r="A24" s="14" t="inlineStr">
        <is>
          <t>The design-target column is all 3s by construction (100%). It shows the bar the product is designed to, not a measured score.</t>
        </is>
      </c>
    </row>
  </sheetData>
  <conditionalFormatting sqref="C5:K14">
    <cfRule type="colorScale" priority="1">
      <colorScale>
        <cfvo type="num" val="0"/>
        <cfvo type="num" val="0.5"/>
        <cfvo type="num" val="1"/>
        <color rgb="00F8696B"/>
        <color rgb="00FFEB84"/>
        <color rgb="0063BE7B"/>
      </colorScale>
    </cfRule>
  </conditionalFormatting>
  <conditionalFormatting sqref="C20:K20">
    <cfRule type="cellIs" priority="2" operator="greaterThan" dxfId="0">
      <formula>0</formula>
    </cfRule>
    <cfRule type="cellIs" priority="3" operator="equal" dxfId="1">
      <formula>0</formula>
    </cfRule>
  </conditionalFormatting>
  <conditionalFormatting sqref="C18:K18">
    <cfRule type="colorScale" priority="1">
      <colorScale>
        <cfvo type="num" val="0"/>
        <cfvo type="num" val="0.5"/>
        <cfvo type="num" val="1"/>
        <color rgb="00F8696B"/>
        <color rgb="00FFEB84"/>
        <color rgb="0063BE7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46"/>
  <sheetViews>
    <sheetView showGridLines="0"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38" customWidth="1" min="3" max="3"/>
    <col width="46" customWidth="1" min="4" max="4"/>
    <col width="9" customWidth="1" min="5" max="5"/>
    <col width="6"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Rubric — MSL AI Skills training platform vs competitors</t>
        </is>
      </c>
    </row>
    <row r="2">
      <c r="A2" s="2" t="inlineStr">
        <is>
          <t>Yellow cells are editable. Scores 0–3 from public evidence checked Oct 2026. Last column is a DESIGN TARGET, not an evidence score.</t>
        </is>
      </c>
    </row>
    <row r="4" ht="42" customHeight="1">
      <c r="A4" s="5" t="inlineStr">
        <is>
          <t>ID</t>
        </is>
      </c>
      <c r="B4" s="5" t="inlineStr">
        <is>
          <t>Domain</t>
        </is>
      </c>
      <c r="C4" s="5" t="inlineStr">
        <is>
          <t>Criterion</t>
        </is>
      </c>
      <c r="D4" s="5" t="inlineStr">
        <is>
          <t>What a 3 looks like</t>
        </is>
      </c>
      <c r="E4" s="5" t="inlineStr">
        <is>
          <t>Weight (1–3)</t>
        </is>
      </c>
      <c r="F4" s="5" t="inlineStr">
        <is>
          <t>Gate</t>
        </is>
      </c>
      <c r="G4" s="5" t="inlineStr">
        <is>
          <t>MSL Society</t>
        </is>
      </c>
      <c r="H4" s="5" t="inlineStr">
        <is>
          <t>ACMA</t>
        </is>
      </c>
      <c r="I4" s="5" t="inlineStr">
        <is>
          <t>MAPS</t>
        </is>
      </c>
      <c r="J4" s="5" t="inlineStr">
        <is>
          <t>CELforPharma</t>
        </is>
      </c>
      <c r="K4" s="5" t="inlineStr">
        <is>
          <t>Eularis</t>
        </is>
      </c>
      <c r="L4" s="5" t="inlineStr">
        <is>
          <t>MA Value / MSL Mastery</t>
        </is>
      </c>
      <c r="M4" s="5" t="inlineStr">
        <is>
          <t>Inizio MSL Interact</t>
        </is>
      </c>
      <c r="N4" s="5" t="inlineStr">
        <is>
          <t>Section (horizontal)</t>
        </is>
      </c>
      <c r="O4" s="5" t="inlineStr">
        <is>
          <t>MSL AI Skills (design target)</t>
        </is>
      </c>
    </row>
    <row r="5">
      <c r="A5" s="4" t="inlineStr">
        <is>
          <t>D1.1</t>
        </is>
      </c>
      <c r="B5" s="4" t="inlineStr">
        <is>
          <t>MSL role specificity</t>
        </is>
      </c>
      <c r="C5" s="4" t="inlineStr">
        <is>
          <t>Anchored to real MSL day-to-day tasks</t>
        </is>
      </c>
      <c r="D5" s="4" t="inlineStr">
        <is>
          <t>Curriculum built around named MSL tasks: literature triage, pre-call planning, KOL/KEE profiling, insight synthesis, congress summaries</t>
        </is>
      </c>
      <c r="E5" s="15" t="n">
        <v>3</v>
      </c>
      <c r="F5" s="16" t="inlineStr">
        <is>
          <t>Y</t>
        </is>
      </c>
      <c r="G5" s="15" t="n">
        <v>2</v>
      </c>
      <c r="H5" s="15" t="n">
        <v>2</v>
      </c>
      <c r="I5" s="15" t="n">
        <v>1</v>
      </c>
      <c r="J5" s="15" t="n">
        <v>2</v>
      </c>
      <c r="K5" s="15" t="n">
        <v>1</v>
      </c>
      <c r="L5" s="15" t="n">
        <v>2</v>
      </c>
      <c r="M5" s="15" t="n">
        <v>1</v>
      </c>
      <c r="N5" s="15" t="n">
        <v>0</v>
      </c>
      <c r="O5" s="15" t="n">
        <v>3</v>
      </c>
    </row>
    <row r="6">
      <c r="A6" s="4" t="inlineStr">
        <is>
          <t>D1.2</t>
        </is>
      </c>
      <c r="B6" s="4" t="inlineStr">
        <is>
          <t>MSL role specificity</t>
        </is>
      </c>
      <c r="C6" s="4" t="inlineStr">
        <is>
          <t>Mapped to an MSL competency framework or job description</t>
        </is>
      </c>
      <c r="D6" s="4" t="inlineStr">
        <is>
          <t>Published mapping of modules to a field-medical competency framework and a representative MSL JD</t>
        </is>
      </c>
      <c r="E6" s="15" t="n">
        <v>2</v>
      </c>
      <c r="F6" s="15" t="inlineStr"/>
      <c r="G6" s="15" t="n">
        <v>1</v>
      </c>
      <c r="H6" s="15" t="n">
        <v>2</v>
      </c>
      <c r="I6" s="15" t="n">
        <v>1</v>
      </c>
      <c r="J6" s="15" t="n">
        <v>0</v>
      </c>
      <c r="K6" s="15" t="n">
        <v>0</v>
      </c>
      <c r="L6" s="15" t="n">
        <v>0</v>
      </c>
      <c r="M6" s="15" t="n">
        <v>0</v>
      </c>
      <c r="N6" s="15" t="n">
        <v>0</v>
      </c>
      <c r="O6" s="15" t="n">
        <v>3</v>
      </c>
    </row>
    <row r="7">
      <c r="A7" s="4" t="inlineStr">
        <is>
          <t>D1.3</t>
        </is>
      </c>
      <c r="B7" s="4" t="inlineStr">
        <is>
          <t>MSL role specificity</t>
        </is>
      </c>
      <c r="C7" s="4" t="inlineStr">
        <is>
          <t>Worked examples across therapeutic areas</t>
        </is>
      </c>
      <c r="D7" s="4" t="inlineStr">
        <is>
          <t>Examples in 3+ TAs or a configurable TA case layer</t>
        </is>
      </c>
      <c r="E7" s="15" t="n">
        <v>2</v>
      </c>
      <c r="F7" s="15" t="inlineStr"/>
      <c r="G7" s="15" t="n">
        <v>0</v>
      </c>
      <c r="H7" s="15" t="n">
        <v>0</v>
      </c>
      <c r="I7" s="15" t="n">
        <v>0</v>
      </c>
      <c r="J7" s="15" t="n">
        <v>0</v>
      </c>
      <c r="K7" s="15" t="n">
        <v>0</v>
      </c>
      <c r="L7" s="15" t="n">
        <v>1</v>
      </c>
      <c r="M7" s="15" t="n">
        <v>2</v>
      </c>
      <c r="N7" s="15" t="n">
        <v>0</v>
      </c>
      <c r="O7" s="15" t="n">
        <v>3</v>
      </c>
    </row>
    <row r="8">
      <c r="A8" s="4" t="inlineStr">
        <is>
          <t>D1.4</t>
        </is>
      </c>
      <c r="B8" s="4" t="inlineStr">
        <is>
          <t>MSL role specificity</t>
        </is>
      </c>
      <c r="C8" s="4" t="inlineStr">
        <is>
          <t>Pathways by seniority</t>
        </is>
      </c>
      <c r="D8" s="4" t="inlineStr">
        <is>
          <t>Distinct documented tracks for new MSL, senior MSL, manager/L&amp;D lead</t>
        </is>
      </c>
      <c r="E8" s="15" t="n">
        <v>2</v>
      </c>
      <c r="F8" s="15" t="inlineStr"/>
      <c r="G8" s="15" t="n">
        <v>1</v>
      </c>
      <c r="H8" s="15" t="n">
        <v>1</v>
      </c>
      <c r="I8" s="15" t="n">
        <v>1</v>
      </c>
      <c r="J8" s="15" t="n">
        <v>0</v>
      </c>
      <c r="K8" s="15" t="n">
        <v>1</v>
      </c>
      <c r="L8" s="15" t="n">
        <v>1</v>
      </c>
      <c r="M8" s="15" t="n">
        <v>1</v>
      </c>
      <c r="N8" s="15" t="n">
        <v>2</v>
      </c>
      <c r="O8" s="15" t="n">
        <v>3</v>
      </c>
    </row>
    <row r="9">
      <c r="A9" s="4" t="inlineStr">
        <is>
          <t>D2.1</t>
        </is>
      </c>
      <c r="B9" s="4" t="inlineStr">
        <is>
          <t>Hands-on depth across the AI stack</t>
        </is>
      </c>
      <c r="C9" s="4" t="inlineStr">
        <is>
          <t>Hands-on applied prompt engineering</t>
        </is>
      </c>
      <c r="D9" s="4" t="inlineStr">
        <is>
          <t>Practice exercises on real scientific/medical tasks</t>
        </is>
      </c>
      <c r="E9" s="15" t="n">
        <v>3</v>
      </c>
      <c r="F9" s="15" t="inlineStr"/>
      <c r="G9" s="15" t="n">
        <v>2</v>
      </c>
      <c r="H9" s="15" t="n">
        <v>2</v>
      </c>
      <c r="I9" s="15" t="n">
        <v>0</v>
      </c>
      <c r="J9" s="15" t="n">
        <v>2</v>
      </c>
      <c r="K9" s="15" t="n">
        <v>1</v>
      </c>
      <c r="L9" s="15" t="n">
        <v>2</v>
      </c>
      <c r="M9" s="15" t="n">
        <v>0</v>
      </c>
      <c r="N9" s="15" t="n">
        <v>2</v>
      </c>
      <c r="O9" s="15" t="n">
        <v>3</v>
      </c>
    </row>
    <row r="10">
      <c r="A10" s="4" t="inlineStr">
        <is>
          <t>D2.2</t>
        </is>
      </c>
      <c r="B10" s="4" t="inlineStr">
        <is>
          <t>Hands-on depth across the AI stack</t>
        </is>
      </c>
      <c r="C10" s="4" t="inlineStr">
        <is>
          <t>AI workflows and tool chaining</t>
        </is>
      </c>
      <c r="D10" s="4" t="inlineStr">
        <is>
          <t>Chaining email, calendar, notes, reference manager, read-only CRM with exercises</t>
        </is>
      </c>
      <c r="E10" s="15" t="n">
        <v>2</v>
      </c>
      <c r="F10" s="15" t="inlineStr"/>
      <c r="G10" s="15" t="n">
        <v>1</v>
      </c>
      <c r="H10" s="15" t="n">
        <v>1</v>
      </c>
      <c r="I10" s="15" t="n">
        <v>0</v>
      </c>
      <c r="J10" s="15" t="n">
        <v>1</v>
      </c>
      <c r="K10" s="15" t="n">
        <v>1</v>
      </c>
      <c r="L10" s="15" t="n">
        <v>2</v>
      </c>
      <c r="M10" s="15" t="n">
        <v>0</v>
      </c>
      <c r="N10" s="15" t="n">
        <v>2</v>
      </c>
      <c r="O10" s="15" t="n">
        <v>3</v>
      </c>
    </row>
    <row r="11">
      <c r="A11" s="4" t="inlineStr">
        <is>
          <t>D2.3</t>
        </is>
      </c>
      <c r="B11" s="4" t="inlineStr">
        <is>
          <t>Hands-on depth across the AI stack</t>
        </is>
      </c>
      <c r="C11" s="4" t="inlineStr">
        <is>
          <t>Vibe coding / low-code personal apps</t>
        </is>
      </c>
      <c r="D11" s="4" t="inlineStr">
        <is>
          <t>Learners build a working personal tool</t>
        </is>
      </c>
      <c r="E11" s="15" t="n">
        <v>2</v>
      </c>
      <c r="F11" s="15" t="inlineStr"/>
      <c r="G11" s="15" t="n">
        <v>0</v>
      </c>
      <c r="H11" s="15" t="n">
        <v>0</v>
      </c>
      <c r="I11" s="15" t="n">
        <v>0</v>
      </c>
      <c r="J11" s="15" t="n">
        <v>2</v>
      </c>
      <c r="K11" s="15" t="n">
        <v>0</v>
      </c>
      <c r="L11" s="15" t="n">
        <v>0</v>
      </c>
      <c r="M11" s="15" t="n">
        <v>0</v>
      </c>
      <c r="N11" s="15" t="n">
        <v>1</v>
      </c>
      <c r="O11" s="15" t="n">
        <v>3</v>
      </c>
    </row>
    <row r="12">
      <c r="A12" s="4" t="inlineStr">
        <is>
          <t>D2.4</t>
        </is>
      </c>
      <c r="B12" s="4" t="inlineStr">
        <is>
          <t>Hands-on depth across the AI stack</t>
        </is>
      </c>
      <c r="C12" s="4" t="inlineStr">
        <is>
          <t>Custom assistants and agents with guardrails</t>
        </is>
      </c>
      <c r="D12" s="4" t="inlineStr">
        <is>
          <t>Learners build, test and evaluate an assistant/agent</t>
        </is>
      </c>
      <c r="E12" s="15" t="n">
        <v>3</v>
      </c>
      <c r="F12" s="15" t="inlineStr"/>
      <c r="G12" s="15" t="n">
        <v>1</v>
      </c>
      <c r="H12" s="15" t="n">
        <v>2</v>
      </c>
      <c r="I12" s="15" t="n">
        <v>0</v>
      </c>
      <c r="J12" s="15" t="n">
        <v>1</v>
      </c>
      <c r="K12" s="15" t="n">
        <v>0</v>
      </c>
      <c r="L12" s="15" t="n">
        <v>2</v>
      </c>
      <c r="M12" s="15" t="n">
        <v>0</v>
      </c>
      <c r="N12" s="15" t="n">
        <v>2</v>
      </c>
      <c r="O12" s="15" t="n">
        <v>3</v>
      </c>
    </row>
    <row r="13">
      <c r="A13" s="4" t="inlineStr">
        <is>
          <t>D2.5</t>
        </is>
      </c>
      <c r="B13" s="4" t="inlineStr">
        <is>
          <t>Hands-on depth across the AI stack</t>
        </is>
      </c>
      <c r="C13" s="4" t="inlineStr">
        <is>
          <t>Automation with human review gates</t>
        </is>
      </c>
      <c r="D13" s="4" t="inlineStr">
        <is>
          <t>Automation of recurring tasks taught with explicit review gates</t>
        </is>
      </c>
      <c r="E13" s="15" t="n">
        <v>2</v>
      </c>
      <c r="F13" s="15" t="inlineStr"/>
      <c r="G13" s="15" t="n">
        <v>0</v>
      </c>
      <c r="H13" s="15" t="n">
        <v>1</v>
      </c>
      <c r="I13" s="15" t="n">
        <v>0</v>
      </c>
      <c r="J13" s="15" t="n">
        <v>1</v>
      </c>
      <c r="K13" s="15" t="n">
        <v>0</v>
      </c>
      <c r="L13" s="15" t="n">
        <v>1</v>
      </c>
      <c r="M13" s="15" t="n">
        <v>0</v>
      </c>
      <c r="N13" s="15" t="n">
        <v>1</v>
      </c>
      <c r="O13" s="15" t="n">
        <v>3</v>
      </c>
    </row>
    <row r="14">
      <c r="A14" s="4" t="inlineStr">
        <is>
          <t>D2.6</t>
        </is>
      </c>
      <c r="B14" s="4" t="inlineStr">
        <is>
          <t>Hands-on depth across the AI stack</t>
        </is>
      </c>
      <c r="C14" s="4" t="inlineStr">
        <is>
          <t>Learn-by-shipping artifact per module</t>
        </is>
      </c>
      <c r="D14" s="4" t="inlineStr">
        <is>
          <t>Every module produces a usable work artifact</t>
        </is>
      </c>
      <c r="E14" s="15" t="n">
        <v>2</v>
      </c>
      <c r="F14" s="15" t="inlineStr"/>
      <c r="G14" s="15" t="n">
        <v>1</v>
      </c>
      <c r="H14" s="15" t="n">
        <v>1</v>
      </c>
      <c r="I14" s="15" t="n">
        <v>0</v>
      </c>
      <c r="J14" s="15" t="n">
        <v>1</v>
      </c>
      <c r="K14" s="15" t="n">
        <v>1</v>
      </c>
      <c r="L14" s="15" t="n">
        <v>1</v>
      </c>
      <c r="M14" s="15" t="n">
        <v>0</v>
      </c>
      <c r="N14" s="15" t="n">
        <v>1</v>
      </c>
      <c r="O14" s="15" t="n">
        <v>3</v>
      </c>
    </row>
    <row r="15">
      <c r="A15" s="4" t="inlineStr">
        <is>
          <t>D3.1</t>
        </is>
      </c>
      <c r="B15" s="4" t="inlineStr">
        <is>
          <t>Compliance embedded</t>
        </is>
      </c>
      <c r="C15" s="4" t="inlineStr">
        <is>
          <t>Non-promotional, off-label and PhRMA Code guardrails in AI use</t>
        </is>
      </c>
      <c r="D15" s="4" t="inlineStr">
        <is>
          <t>Explicit module/content on scientific exchange rules when using AI</t>
        </is>
      </c>
      <c r="E15" s="15" t="n">
        <v>3</v>
      </c>
      <c r="F15" s="16" t="inlineStr">
        <is>
          <t>Y</t>
        </is>
      </c>
      <c r="G15" s="15" t="n">
        <v>1</v>
      </c>
      <c r="H15" s="15" t="n">
        <v>2</v>
      </c>
      <c r="I15" s="15" t="n">
        <v>1</v>
      </c>
      <c r="J15" s="15" t="n">
        <v>1</v>
      </c>
      <c r="K15" s="15" t="n">
        <v>0</v>
      </c>
      <c r="L15" s="15" t="n">
        <v>1</v>
      </c>
      <c r="M15" s="15" t="n">
        <v>1</v>
      </c>
      <c r="N15" s="15" t="n">
        <v>0</v>
      </c>
      <c r="O15" s="15" t="n">
        <v>3</v>
      </c>
    </row>
    <row r="16">
      <c r="A16" s="4" t="inlineStr">
        <is>
          <t>D3.2</t>
        </is>
      </c>
      <c r="B16" s="4" t="inlineStr">
        <is>
          <t>Compliance embedded</t>
        </is>
      </c>
      <c r="C16" s="4" t="inlineStr">
        <is>
          <t>Data governance: PHI, confidential, embargoed data; sanctioned tools</t>
        </is>
      </c>
      <c r="D16" s="4" t="inlineStr">
        <is>
          <t>Explicit content on what may never enter public models; HIPAA; enterprise instances</t>
        </is>
      </c>
      <c r="E16" s="15" t="n">
        <v>3</v>
      </c>
      <c r="F16" s="16" t="inlineStr">
        <is>
          <t>Y</t>
        </is>
      </c>
      <c r="G16" s="15" t="n">
        <v>0</v>
      </c>
      <c r="H16" s="15" t="n">
        <v>2</v>
      </c>
      <c r="I16" s="15" t="n">
        <v>1</v>
      </c>
      <c r="J16" s="15" t="n">
        <v>1</v>
      </c>
      <c r="K16" s="15" t="n">
        <v>1</v>
      </c>
      <c r="L16" s="15" t="n">
        <v>0</v>
      </c>
      <c r="M16" s="15" t="n">
        <v>0</v>
      </c>
      <c r="N16" s="15" t="n">
        <v>1</v>
      </c>
      <c r="O16" s="15" t="n">
        <v>3</v>
      </c>
    </row>
    <row r="17">
      <c r="A17" s="4" t="inlineStr">
        <is>
          <t>D3.3</t>
        </is>
      </c>
      <c r="B17" s="4" t="inlineStr">
        <is>
          <t>Compliance embedded</t>
        </is>
      </c>
      <c r="C17" s="4" t="inlineStr">
        <is>
          <t>Pharmacovigilance: AEs surfaced by AI routed to humans</t>
        </is>
      </c>
      <c r="D17" s="4" t="inlineStr">
        <is>
          <t>Explicit content and exercise on AE/PQC routing</t>
        </is>
      </c>
      <c r="E17" s="15" t="n">
        <v>3</v>
      </c>
      <c r="F17" s="16" t="inlineStr">
        <is>
          <t>Y</t>
        </is>
      </c>
      <c r="G17" s="15" t="n">
        <v>0</v>
      </c>
      <c r="H17" s="15" t="n">
        <v>1</v>
      </c>
      <c r="I17" s="15" t="n">
        <v>1</v>
      </c>
      <c r="J17" s="15" t="n">
        <v>0</v>
      </c>
      <c r="K17" s="15" t="n">
        <v>0</v>
      </c>
      <c r="L17" s="15" t="n">
        <v>0</v>
      </c>
      <c r="M17" s="15" t="n">
        <v>0</v>
      </c>
      <c r="N17" s="15" t="n">
        <v>0</v>
      </c>
      <c r="O17" s="15" t="n">
        <v>3</v>
      </c>
    </row>
    <row r="18">
      <c r="A18" s="4" t="inlineStr">
        <is>
          <t>D3.4</t>
        </is>
      </c>
      <c r="B18" s="4" t="inlineStr">
        <is>
          <t>Compliance embedded</t>
        </is>
      </c>
      <c r="C18" s="4" t="inlineStr">
        <is>
          <t>AI output as draft needing MLR / scientific review</t>
        </is>
      </c>
      <c r="D18" s="4" t="inlineStr">
        <is>
          <t>Explicit content positioning all output as drafts</t>
        </is>
      </c>
      <c r="E18" s="15" t="n">
        <v>2</v>
      </c>
      <c r="F18" s="15" t="inlineStr"/>
      <c r="G18" s="15" t="n">
        <v>2</v>
      </c>
      <c r="H18" s="15" t="n">
        <v>2</v>
      </c>
      <c r="I18" s="15" t="n">
        <v>1</v>
      </c>
      <c r="J18" s="15" t="n">
        <v>1</v>
      </c>
      <c r="K18" s="15" t="n">
        <v>1</v>
      </c>
      <c r="L18" s="15" t="n">
        <v>1</v>
      </c>
      <c r="M18" s="15" t="n">
        <v>1</v>
      </c>
      <c r="N18" s="15" t="n">
        <v>0</v>
      </c>
      <c r="O18" s="15" t="n">
        <v>3</v>
      </c>
    </row>
    <row r="19">
      <c r="A19" s="4" t="inlineStr">
        <is>
          <t>D3.5</t>
        </is>
      </c>
      <c r="B19" s="4" t="inlineStr">
        <is>
          <t>Compliance embedded</t>
        </is>
      </c>
      <c r="C19" s="4" t="inlineStr">
        <is>
          <t>Prototype vs IT-governed production</t>
        </is>
      </c>
      <c r="D19" s="4" t="inlineStr">
        <is>
          <t>Explicit content on pharma IT/security boundaries</t>
        </is>
      </c>
      <c r="E19" s="15" t="n">
        <v>2</v>
      </c>
      <c r="F19" s="15" t="inlineStr"/>
      <c r="G19" s="15" t="n">
        <v>0</v>
      </c>
      <c r="H19" s="15" t="n">
        <v>0</v>
      </c>
      <c r="I19" s="15" t="n">
        <v>0</v>
      </c>
      <c r="J19" s="15" t="n">
        <v>0</v>
      </c>
      <c r="K19" s="15" t="n">
        <v>1</v>
      </c>
      <c r="L19" s="15" t="n">
        <v>0</v>
      </c>
      <c r="M19" s="15" t="n">
        <v>0</v>
      </c>
      <c r="N19" s="15" t="n">
        <v>0</v>
      </c>
      <c r="O19" s="15" t="n">
        <v>3</v>
      </c>
    </row>
    <row r="20">
      <c r="A20" s="4" t="inlineStr">
        <is>
          <t>D4.1</t>
        </is>
      </c>
      <c r="B20" s="4" t="inlineStr">
        <is>
          <t>Learning design for a field schedule</t>
        </is>
      </c>
      <c r="C20" s="4" t="inlineStr">
        <is>
          <t>Microlearning units</t>
        </is>
      </c>
      <c r="D20" s="4" t="inlineStr">
        <is>
          <t>Documented units of about 15 minutes or less</t>
        </is>
      </c>
      <c r="E20" s="15" t="n">
        <v>2</v>
      </c>
      <c r="F20" s="15" t="inlineStr"/>
      <c r="G20" s="15" t="n">
        <v>0</v>
      </c>
      <c r="H20" s="15" t="n">
        <v>1</v>
      </c>
      <c r="I20" s="15" t="n">
        <v>1</v>
      </c>
      <c r="J20" s="15" t="n">
        <v>0</v>
      </c>
      <c r="K20" s="15" t="n">
        <v>1</v>
      </c>
      <c r="L20" s="15" t="n">
        <v>1</v>
      </c>
      <c r="M20" s="15" t="n">
        <v>0</v>
      </c>
      <c r="N20" s="15" t="n">
        <v>1</v>
      </c>
      <c r="O20" s="15" t="n">
        <v>3</v>
      </c>
    </row>
    <row r="21">
      <c r="A21" s="4" t="inlineStr">
        <is>
          <t>D4.2</t>
        </is>
      </c>
      <c r="B21" s="4" t="inlineStr">
        <is>
          <t>Learning design for a field schedule</t>
        </is>
      </c>
      <c r="C21" s="4" t="inlineStr">
        <is>
          <t>Mobile / asynchronous access</t>
        </is>
      </c>
      <c r="D21" s="4" t="inlineStr">
        <is>
          <t>On-demand and usable on a phone</t>
        </is>
      </c>
      <c r="E21" s="15" t="n">
        <v>2</v>
      </c>
      <c r="F21" s="15" t="inlineStr"/>
      <c r="G21" s="15" t="n">
        <v>0</v>
      </c>
      <c r="H21" s="15" t="n">
        <v>2</v>
      </c>
      <c r="I21" s="15" t="n">
        <v>3</v>
      </c>
      <c r="J21" s="15" t="n">
        <v>0</v>
      </c>
      <c r="K21" s="15" t="n">
        <v>2</v>
      </c>
      <c r="L21" s="15" t="n">
        <v>2</v>
      </c>
      <c r="M21" s="15" t="n">
        <v>2</v>
      </c>
      <c r="N21" s="15" t="n">
        <v>2</v>
      </c>
      <c r="O21" s="15" t="n">
        <v>3</v>
      </c>
    </row>
    <row r="22">
      <c r="A22" s="4" t="inlineStr">
        <is>
          <t>D4.3</t>
        </is>
      </c>
      <c r="B22" s="4" t="inlineStr">
        <is>
          <t>Learning design for a field schedule</t>
        </is>
      </c>
      <c r="C22" s="4" t="inlineStr">
        <is>
          <t>Reinforcement and reusable asset library</t>
        </is>
      </c>
      <c r="D22" s="4" t="inlineStr">
        <is>
          <t>Spaced review, prompt cards, searchable prompt/agent library</t>
        </is>
      </c>
      <c r="E22" s="15" t="n">
        <v>1</v>
      </c>
      <c r="F22" s="15" t="inlineStr"/>
      <c r="G22" s="15" t="n">
        <v>0</v>
      </c>
      <c r="H22" s="15" t="n">
        <v>1</v>
      </c>
      <c r="I22" s="15" t="n">
        <v>1</v>
      </c>
      <c r="J22" s="15" t="n">
        <v>1</v>
      </c>
      <c r="K22" s="15" t="n">
        <v>2</v>
      </c>
      <c r="L22" s="15" t="n">
        <v>2</v>
      </c>
      <c r="M22" s="15" t="n">
        <v>0</v>
      </c>
      <c r="N22" s="15" t="n">
        <v>3</v>
      </c>
      <c r="O22" s="15" t="n">
        <v>3</v>
      </c>
    </row>
    <row r="23">
      <c r="A23" s="4" t="inlineStr">
        <is>
          <t>D4.4</t>
        </is>
      </c>
      <c r="B23" s="4" t="inlineStr">
        <is>
          <t>Learning design for a field schedule</t>
        </is>
      </c>
      <c r="C23" s="4" t="inlineStr">
        <is>
          <t>Live cohorts / office hours in US time zones</t>
        </is>
      </c>
      <c r="D23" s="4" t="inlineStr">
        <is>
          <t>Recurring live sessions in US hours</t>
        </is>
      </c>
      <c r="E23" s="15" t="n">
        <v>1</v>
      </c>
      <c r="F23" s="15" t="inlineStr"/>
      <c r="G23" s="15" t="n">
        <v>2</v>
      </c>
      <c r="H23" s="15" t="n">
        <v>0</v>
      </c>
      <c r="I23" s="15" t="n">
        <v>2</v>
      </c>
      <c r="J23" s="15" t="n">
        <v>0</v>
      </c>
      <c r="K23" s="15" t="n">
        <v>1</v>
      </c>
      <c r="L23" s="15" t="n">
        <v>1</v>
      </c>
      <c r="M23" s="15" t="n">
        <v>0</v>
      </c>
      <c r="N23" s="15" t="n">
        <v>3</v>
      </c>
      <c r="O23" s="15" t="n">
        <v>3</v>
      </c>
    </row>
    <row r="24">
      <c r="A24" s="4" t="inlineStr">
        <is>
          <t>D5.1</t>
        </is>
      </c>
      <c r="B24" s="4" t="inlineStr">
        <is>
          <t>Assessment and credential</t>
        </is>
      </c>
      <c r="C24" s="4" t="inlineStr">
        <is>
          <t>Performance-based assessment of AI competence</t>
        </is>
      </c>
      <c r="D24" s="4" t="inlineStr">
        <is>
          <t>Graded practical assessment, not attendance</t>
        </is>
      </c>
      <c r="E24" s="15" t="n">
        <v>3</v>
      </c>
      <c r="F24" s="16" t="inlineStr">
        <is>
          <t>Y</t>
        </is>
      </c>
      <c r="G24" s="15" t="n">
        <v>0</v>
      </c>
      <c r="H24" s="15" t="n">
        <v>2</v>
      </c>
      <c r="I24" s="15" t="n">
        <v>1</v>
      </c>
      <c r="J24" s="15" t="n">
        <v>0</v>
      </c>
      <c r="K24" s="15" t="n">
        <v>0</v>
      </c>
      <c r="L24" s="15" t="n">
        <v>0</v>
      </c>
      <c r="M24" s="15" t="n">
        <v>1</v>
      </c>
      <c r="N24" s="15" t="n">
        <v>2</v>
      </c>
      <c r="O24" s="15" t="n">
        <v>3</v>
      </c>
    </row>
    <row r="25">
      <c r="A25" s="4" t="inlineStr">
        <is>
          <t>D5.2</t>
        </is>
      </c>
      <c r="B25" s="4" t="inlineStr">
        <is>
          <t>Assessment and credential</t>
        </is>
      </c>
      <c r="C25" s="4" t="inlineStr">
        <is>
          <t>Recognized certification / credential</t>
        </is>
      </c>
      <c r="D25" s="4" t="inlineStr">
        <is>
          <t>Named credential with industry recognition</t>
        </is>
      </c>
      <c r="E25" s="15" t="n">
        <v>3</v>
      </c>
      <c r="F25" s="15" t="inlineStr"/>
      <c r="G25" s="15" t="n">
        <v>1</v>
      </c>
      <c r="H25" s="15" t="n">
        <v>3</v>
      </c>
      <c r="I25" s="15" t="n">
        <v>1</v>
      </c>
      <c r="J25" s="15" t="n">
        <v>1</v>
      </c>
      <c r="K25" s="15" t="n">
        <v>0</v>
      </c>
      <c r="L25" s="15" t="n">
        <v>0</v>
      </c>
      <c r="M25" s="15" t="n">
        <v>0</v>
      </c>
      <c r="N25" s="15" t="n">
        <v>2</v>
      </c>
      <c r="O25" s="15" t="n">
        <v>3</v>
      </c>
    </row>
    <row r="26">
      <c r="A26" s="4" t="inlineStr">
        <is>
          <t>D5.3</t>
        </is>
      </c>
      <c r="B26" s="4" t="inlineStr">
        <is>
          <t>Assessment and credential</t>
        </is>
      </c>
      <c r="C26" s="4" t="inlineStr">
        <is>
          <t>CE/CME or accredited PD credit</t>
        </is>
      </c>
      <c r="D26" s="4" t="inlineStr">
        <is>
          <t>Accredited credit stated</t>
        </is>
      </c>
      <c r="E26" s="15" t="n">
        <v>1</v>
      </c>
      <c r="F26" s="15" t="inlineStr"/>
      <c r="G26" s="15" t="n">
        <v>1</v>
      </c>
      <c r="H26" s="15" t="n">
        <v>2</v>
      </c>
      <c r="I26" s="15" t="n">
        <v>1</v>
      </c>
      <c r="J26" s="15" t="n">
        <v>0</v>
      </c>
      <c r="K26" s="15" t="n">
        <v>0</v>
      </c>
      <c r="L26" s="15" t="n">
        <v>0</v>
      </c>
      <c r="M26" s="15" t="n">
        <v>0</v>
      </c>
      <c r="N26" s="15" t="n">
        <v>0</v>
      </c>
      <c r="O26" s="15" t="n">
        <v>3</v>
      </c>
    </row>
    <row r="27">
      <c r="A27" s="4" t="inlineStr">
        <is>
          <t>D5.4</t>
        </is>
      </c>
      <c r="B27" s="4" t="inlineStr">
        <is>
          <t>Assessment and credential</t>
        </is>
      </c>
      <c r="C27" s="4" t="inlineStr">
        <is>
          <t>Capstone that measurably saves time</t>
        </is>
      </c>
      <c r="D27" s="4" t="inlineStr">
        <is>
          <t>Documented capstone with time-saved measure</t>
        </is>
      </c>
      <c r="E27" s="15" t="n">
        <v>2</v>
      </c>
      <c r="F27" s="15" t="inlineStr"/>
      <c r="G27" s="15" t="n">
        <v>0</v>
      </c>
      <c r="H27" s="15" t="n">
        <v>0</v>
      </c>
      <c r="I27" s="15" t="n">
        <v>0</v>
      </c>
      <c r="J27" s="15" t="n">
        <v>1</v>
      </c>
      <c r="K27" s="15" t="n">
        <v>0</v>
      </c>
      <c r="L27" s="15" t="n">
        <v>0</v>
      </c>
      <c r="M27" s="15" t="n">
        <v>0</v>
      </c>
      <c r="N27" s="15" t="n">
        <v>1</v>
      </c>
      <c r="O27" s="15" t="n">
        <v>3</v>
      </c>
    </row>
    <row r="28">
      <c r="A28" s="4" t="inlineStr">
        <is>
          <t>D6.1</t>
        </is>
      </c>
      <c r="B28" s="4" t="inlineStr">
        <is>
          <t>Outcomes and measurement</t>
        </is>
      </c>
      <c r="C28" s="4" t="inlineStr">
        <is>
          <t>Pre/post efficiency or skill metrics</t>
        </is>
      </c>
      <c r="D28" s="4" t="inlineStr">
        <is>
          <t>Documented measurement plan</t>
        </is>
      </c>
      <c r="E28" s="15" t="n">
        <v>2</v>
      </c>
      <c r="F28" s="15" t="inlineStr"/>
      <c r="G28" s="15" t="n">
        <v>0</v>
      </c>
      <c r="H28" s="15" t="n">
        <v>1</v>
      </c>
      <c r="I28" s="15" t="n">
        <v>1</v>
      </c>
      <c r="J28" s="15" t="n">
        <v>0</v>
      </c>
      <c r="K28" s="15" t="n">
        <v>0</v>
      </c>
      <c r="L28" s="15" t="n">
        <v>1</v>
      </c>
      <c r="M28" s="15" t="n">
        <v>1</v>
      </c>
      <c r="N28" s="15" t="n">
        <v>2</v>
      </c>
      <c r="O28" s="15" t="n">
        <v>3</v>
      </c>
    </row>
    <row r="29">
      <c r="A29" s="4" t="inlineStr">
        <is>
          <t>D6.2</t>
        </is>
      </c>
      <c r="B29" s="4" t="inlineStr">
        <is>
          <t>Outcomes and measurement</t>
        </is>
      </c>
      <c r="C29" s="4" t="inlineStr">
        <is>
          <t>Published quantified learner outcomes</t>
        </is>
      </c>
      <c r="D29" s="4" t="inlineStr">
        <is>
          <t>Quantified outcomes or case studies public</t>
        </is>
      </c>
      <c r="E29" s="15" t="n">
        <v>2</v>
      </c>
      <c r="F29" s="15" t="inlineStr"/>
      <c r="G29" s="15" t="n">
        <v>0</v>
      </c>
      <c r="H29" s="15" t="n">
        <v>1</v>
      </c>
      <c r="I29" s="15" t="n">
        <v>0</v>
      </c>
      <c r="J29" s="15" t="n">
        <v>1</v>
      </c>
      <c r="K29" s="15" t="n">
        <v>1</v>
      </c>
      <c r="L29" s="15" t="n">
        <v>1</v>
      </c>
      <c r="M29" s="15" t="n">
        <v>0</v>
      </c>
      <c r="N29" s="15" t="n">
        <v>3</v>
      </c>
      <c r="O29" s="15" t="n">
        <v>3</v>
      </c>
    </row>
    <row r="30">
      <c r="A30" s="4" t="inlineStr">
        <is>
          <t>D6.3</t>
        </is>
      </c>
      <c r="B30" s="4" t="inlineStr">
        <is>
          <t>Outcomes and measurement</t>
        </is>
      </c>
      <c r="C30" s="4" t="inlineStr">
        <is>
          <t>Manager / enterprise reporting</t>
        </is>
      </c>
      <c r="D30" s="4" t="inlineStr">
        <is>
          <t>Dashboard or reports for buyers</t>
        </is>
      </c>
      <c r="E30" s="15" t="n">
        <v>2</v>
      </c>
      <c r="F30" s="15" t="inlineStr"/>
      <c r="G30" s="15" t="n">
        <v>0</v>
      </c>
      <c r="H30" s="15" t="n">
        <v>0</v>
      </c>
      <c r="I30" s="15" t="n">
        <v>0</v>
      </c>
      <c r="J30" s="15" t="n">
        <v>0</v>
      </c>
      <c r="K30" s="15" t="n">
        <v>2</v>
      </c>
      <c r="L30" s="15" t="n">
        <v>1</v>
      </c>
      <c r="M30" s="15" t="n">
        <v>3</v>
      </c>
      <c r="N30" s="15" t="n">
        <v>3</v>
      </c>
      <c r="O30" s="15" t="n">
        <v>3</v>
      </c>
    </row>
    <row r="31">
      <c r="A31" s="4" t="inlineStr">
        <is>
          <t>D7.1</t>
        </is>
      </c>
      <c r="B31" s="4" t="inlineStr">
        <is>
          <t>Currency and content quality</t>
        </is>
      </c>
      <c r="C31" s="4" t="inlineStr">
        <is>
          <t>Documented content refresh cadence</t>
        </is>
      </c>
      <c r="D31" s="4" t="inlineStr">
        <is>
          <t>Stated cadence for AI tool changes</t>
        </is>
      </c>
      <c r="E31" s="15" t="n">
        <v>2</v>
      </c>
      <c r="F31" s="15" t="inlineStr"/>
      <c r="G31" s="15" t="n">
        <v>0</v>
      </c>
      <c r="H31" s="15" t="n">
        <v>1</v>
      </c>
      <c r="I31" s="15" t="n">
        <v>1</v>
      </c>
      <c r="J31" s="15" t="n">
        <v>0</v>
      </c>
      <c r="K31" s="15" t="n">
        <v>1</v>
      </c>
      <c r="L31" s="15" t="n">
        <v>0</v>
      </c>
      <c r="M31" s="15" t="n">
        <v>1</v>
      </c>
      <c r="N31" s="15" t="n">
        <v>1</v>
      </c>
      <c r="O31" s="15" t="n">
        <v>3</v>
      </c>
    </row>
    <row r="32">
      <c r="A32" s="4" t="inlineStr">
        <is>
          <t>D7.2</t>
        </is>
      </c>
      <c r="B32" s="4" t="inlineStr">
        <is>
          <t>Currency and content quality</t>
        </is>
      </c>
      <c r="C32" s="4" t="inlineStr">
        <is>
          <t>Faculty with medical-affairs and AI expertise</t>
        </is>
      </c>
      <c r="D32" s="4" t="inlineStr">
        <is>
          <t>Named faculty with both</t>
        </is>
      </c>
      <c r="E32" s="15" t="n">
        <v>2</v>
      </c>
      <c r="F32" s="15" t="inlineStr"/>
      <c r="G32" s="15" t="n">
        <v>1</v>
      </c>
      <c r="H32" s="15" t="n">
        <v>1</v>
      </c>
      <c r="I32" s="15" t="n">
        <v>2</v>
      </c>
      <c r="J32" s="15" t="n">
        <v>2</v>
      </c>
      <c r="K32" s="15" t="n">
        <v>1</v>
      </c>
      <c r="L32" s="15" t="n">
        <v>2</v>
      </c>
      <c r="M32" s="15" t="n">
        <v>0</v>
      </c>
      <c r="N32" s="15" t="n">
        <v>0</v>
      </c>
      <c r="O32" s="15" t="n">
        <v>3</v>
      </c>
    </row>
    <row r="33">
      <c r="A33" s="4" t="inlineStr">
        <is>
          <t>D7.3</t>
        </is>
      </c>
      <c r="B33" s="4" t="inlineStr">
        <is>
          <t>Currency and content quality</t>
        </is>
      </c>
      <c r="C33" s="4" t="inlineStr">
        <is>
          <t>Tool-agnostic across enterprise AI stacks</t>
        </is>
      </c>
      <c r="D33" s="4" t="inlineStr">
        <is>
          <t>Covers ChatGPT Enterprise, Copilot, Claude, Gemini</t>
        </is>
      </c>
      <c r="E33" s="15" t="n">
        <v>2</v>
      </c>
      <c r="F33" s="15" t="inlineStr"/>
      <c r="G33" s="15" t="n">
        <v>1</v>
      </c>
      <c r="H33" s="15" t="n">
        <v>3</v>
      </c>
      <c r="I33" s="15" t="n">
        <v>0</v>
      </c>
      <c r="J33" s="15" t="n">
        <v>3</v>
      </c>
      <c r="K33" s="15" t="n">
        <v>0</v>
      </c>
      <c r="L33" s="15" t="n">
        <v>2</v>
      </c>
      <c r="M33" s="15" t="n">
        <v>0</v>
      </c>
      <c r="N33" s="15" t="n">
        <v>3</v>
      </c>
      <c r="O33" s="15" t="n">
        <v>3</v>
      </c>
    </row>
    <row r="34">
      <c r="A34" s="4" t="inlineStr">
        <is>
          <t>D8.1</t>
        </is>
      </c>
      <c r="B34" s="4" t="inlineStr">
        <is>
          <t>Enterprise readiness and trust</t>
        </is>
      </c>
      <c r="C34" s="4" t="inlineStr">
        <is>
          <t>Team / enterprise licensing or private cohorts</t>
        </is>
      </c>
      <c r="D34" s="4" t="inlineStr">
        <is>
          <t>Documented team offer</t>
        </is>
      </c>
      <c r="E34" s="15" t="n">
        <v>2</v>
      </c>
      <c r="F34" s="15" t="inlineStr"/>
      <c r="G34" s="15" t="n">
        <v>2</v>
      </c>
      <c r="H34" s="15" t="n">
        <v>2</v>
      </c>
      <c r="I34" s="15" t="n">
        <v>3</v>
      </c>
      <c r="J34" s="15" t="n">
        <v>3</v>
      </c>
      <c r="K34" s="15" t="n">
        <v>3</v>
      </c>
      <c r="L34" s="15" t="n">
        <v>3</v>
      </c>
      <c r="M34" s="15" t="n">
        <v>2</v>
      </c>
      <c r="N34" s="15" t="n">
        <v>3</v>
      </c>
      <c r="O34" s="15" t="n">
        <v>3</v>
      </c>
    </row>
    <row r="35">
      <c r="A35" s="4" t="inlineStr">
        <is>
          <t>D8.2</t>
        </is>
      </c>
      <c r="B35" s="4" t="inlineStr">
        <is>
          <t>Enterprise readiness and trust</t>
        </is>
      </c>
      <c r="C35" s="4" t="inlineStr">
        <is>
          <t>Security and privacy posture</t>
        </is>
      </c>
      <c r="D35" s="4" t="inlineStr">
        <is>
          <t>SOC 2/ISO certification or a trust page</t>
        </is>
      </c>
      <c r="E35" s="15" t="n">
        <v>2</v>
      </c>
      <c r="F35" s="15" t="inlineStr"/>
      <c r="G35" s="15" t="n">
        <v>0</v>
      </c>
      <c r="H35" s="15" t="n">
        <v>1</v>
      </c>
      <c r="I35" s="15" t="n">
        <v>2</v>
      </c>
      <c r="J35" s="15" t="n">
        <v>1</v>
      </c>
      <c r="K35" s="15" t="n">
        <v>1</v>
      </c>
      <c r="L35" s="15" t="n">
        <v>1</v>
      </c>
      <c r="M35" s="15" t="n">
        <v>0</v>
      </c>
      <c r="N35" s="15" t="n">
        <v>1</v>
      </c>
      <c r="O35" s="15" t="n">
        <v>3</v>
      </c>
    </row>
    <row r="36">
      <c r="A36" s="4" t="inlineStr">
        <is>
          <t>D8.3</t>
        </is>
      </c>
      <c r="B36" s="4" t="inlineStr">
        <is>
          <t>Enterprise readiness and trust</t>
        </is>
      </c>
      <c r="C36" s="4" t="inlineStr">
        <is>
          <t>LMS / SSO integration</t>
        </is>
      </c>
      <c r="D36" s="4" t="inlineStr">
        <is>
          <t>Documented LMS/SSO support</t>
        </is>
      </c>
      <c r="E36" s="15" t="n">
        <v>1</v>
      </c>
      <c r="F36" s="15" t="inlineStr"/>
      <c r="G36" s="15" t="n">
        <v>0</v>
      </c>
      <c r="H36" s="15" t="n">
        <v>1</v>
      </c>
      <c r="I36" s="15" t="n">
        <v>1</v>
      </c>
      <c r="J36" s="15" t="n">
        <v>0</v>
      </c>
      <c r="K36" s="15" t="n">
        <v>0</v>
      </c>
      <c r="L36" s="15" t="n">
        <v>0</v>
      </c>
      <c r="M36" s="15" t="n">
        <v>1</v>
      </c>
      <c r="N36" s="15" t="n">
        <v>3</v>
      </c>
      <c r="O36" s="15" t="n">
        <v>3</v>
      </c>
    </row>
    <row r="37">
      <c r="A37" s="4" t="inlineStr">
        <is>
          <t>D8.4</t>
        </is>
      </c>
      <c r="B37" s="4" t="inlineStr">
        <is>
          <t>Enterprise readiness and trust</t>
        </is>
      </c>
      <c r="C37" s="4" t="inlineStr">
        <is>
          <t>Custom company- or TA-specific module</t>
        </is>
      </c>
      <c r="D37" s="4" t="inlineStr">
        <is>
          <t>Documented customization</t>
        </is>
      </c>
      <c r="E37" s="15" t="n">
        <v>2</v>
      </c>
      <c r="F37" s="15" t="inlineStr"/>
      <c r="G37" s="15" t="n">
        <v>2</v>
      </c>
      <c r="H37" s="15" t="n">
        <v>2</v>
      </c>
      <c r="I37" s="15" t="n">
        <v>1</v>
      </c>
      <c r="J37" s="15" t="n">
        <v>2</v>
      </c>
      <c r="K37" s="15" t="n">
        <v>2</v>
      </c>
      <c r="L37" s="15" t="n">
        <v>3</v>
      </c>
      <c r="M37" s="15" t="n">
        <v>3</v>
      </c>
      <c r="N37" s="15" t="n">
        <v>3</v>
      </c>
      <c r="O37" s="15" t="n">
        <v>3</v>
      </c>
    </row>
    <row r="38">
      <c r="A38" s="4" t="inlineStr">
        <is>
          <t>D8.5</t>
        </is>
      </c>
      <c r="B38" s="4" t="inlineStr">
        <is>
          <t>Enterprise readiness and trust</t>
        </is>
      </c>
      <c r="C38" s="4" t="inlineStr">
        <is>
          <t>Named pharma/biotech clients</t>
        </is>
      </c>
      <c r="D38" s="4" t="inlineStr">
        <is>
          <t>Named clients public</t>
        </is>
      </c>
      <c r="E38" s="15" t="n">
        <v>2</v>
      </c>
      <c r="F38" s="15" t="inlineStr"/>
      <c r="G38" s="15" t="n">
        <v>2</v>
      </c>
      <c r="H38" s="15" t="n">
        <v>3</v>
      </c>
      <c r="I38" s="15" t="n">
        <v>1</v>
      </c>
      <c r="J38" s="15" t="n">
        <v>1</v>
      </c>
      <c r="K38" s="15" t="n">
        <v>2</v>
      </c>
      <c r="L38" s="15" t="n">
        <v>1</v>
      </c>
      <c r="M38" s="15" t="n">
        <v>0</v>
      </c>
      <c r="N38" s="15" t="n">
        <v>2</v>
      </c>
      <c r="O38" s="15" t="n">
        <v>3</v>
      </c>
    </row>
    <row r="39">
      <c r="A39" s="4" t="inlineStr">
        <is>
          <t>D9.1</t>
        </is>
      </c>
      <c r="B39" s="4" t="inlineStr">
        <is>
          <t>Reach, scale and access</t>
        </is>
      </c>
      <c r="C39" s="4" t="inlineStr">
        <is>
          <t>Available US-wide</t>
        </is>
      </c>
      <c r="D39" s="4" t="inlineStr">
        <is>
          <t>US delivery, time zones and regulatory framing</t>
        </is>
      </c>
      <c r="E39" s="15" t="n">
        <v>2</v>
      </c>
      <c r="F39" s="15" t="inlineStr"/>
      <c r="G39" s="15" t="n">
        <v>2</v>
      </c>
      <c r="H39" s="15" t="n">
        <v>2</v>
      </c>
      <c r="I39" s="15" t="n">
        <v>3</v>
      </c>
      <c r="J39" s="15" t="n">
        <v>0</v>
      </c>
      <c r="K39" s="15" t="n">
        <v>1</v>
      </c>
      <c r="L39" s="15" t="n">
        <v>2</v>
      </c>
      <c r="M39" s="15" t="n">
        <v>1</v>
      </c>
      <c r="N39" s="15" t="n">
        <v>2</v>
      </c>
      <c r="O39" s="15" t="n">
        <v>3</v>
      </c>
    </row>
    <row r="40">
      <c r="A40" s="4" t="inlineStr">
        <is>
          <t>D9.2</t>
        </is>
      </c>
      <c r="B40" s="4" t="inlineStr">
        <is>
          <t>Reach, scale and access</t>
        </is>
      </c>
      <c r="C40" s="4" t="inlineStr">
        <is>
          <t>Productized repeatable offering</t>
        </is>
      </c>
      <c r="D40" s="4" t="inlineStr">
        <is>
          <t>Standard catalogue product, not bespoke only</t>
        </is>
      </c>
      <c r="E40" s="15" t="n">
        <v>2</v>
      </c>
      <c r="F40" s="15" t="inlineStr"/>
      <c r="G40" s="15" t="n">
        <v>2</v>
      </c>
      <c r="H40" s="15" t="n">
        <v>3</v>
      </c>
      <c r="I40" s="15" t="n">
        <v>3</v>
      </c>
      <c r="J40" s="15" t="n">
        <v>3</v>
      </c>
      <c r="K40" s="15" t="n">
        <v>2</v>
      </c>
      <c r="L40" s="15" t="n">
        <v>2</v>
      </c>
      <c r="M40" s="15" t="n">
        <v>2</v>
      </c>
      <c r="N40" s="15" t="n">
        <v>3</v>
      </c>
      <c r="O40" s="15" t="n">
        <v>3</v>
      </c>
    </row>
    <row r="41">
      <c r="A41" s="4" t="inlineStr">
        <is>
          <t>D9.3</t>
        </is>
      </c>
      <c r="B41" s="4" t="inlineStr">
        <is>
          <t>Reach, scale and access</t>
        </is>
      </c>
      <c r="C41" s="4" t="inlineStr">
        <is>
          <t>Community / alumni network</t>
        </is>
      </c>
      <c r="D41" s="4" t="inlineStr">
        <is>
          <t>Active community</t>
        </is>
      </c>
      <c r="E41" s="15" t="n">
        <v>1</v>
      </c>
      <c r="F41" s="15" t="inlineStr"/>
      <c r="G41" s="15" t="n">
        <v>2</v>
      </c>
      <c r="H41" s="15" t="n">
        <v>1</v>
      </c>
      <c r="I41" s="15" t="n">
        <v>3</v>
      </c>
      <c r="J41" s="15" t="n">
        <v>1</v>
      </c>
      <c r="K41" s="15" t="n">
        <v>1</v>
      </c>
      <c r="L41" s="15" t="n">
        <v>2</v>
      </c>
      <c r="M41" s="15" t="n">
        <v>0</v>
      </c>
      <c r="N41" s="15" t="n">
        <v>2</v>
      </c>
      <c r="O41" s="15" t="n">
        <v>3</v>
      </c>
    </row>
    <row r="42">
      <c r="A42" s="4" t="inlineStr">
        <is>
          <t>D9.4</t>
        </is>
      </c>
      <c r="B42" s="4" t="inlineStr">
        <is>
          <t>Reach, scale and access</t>
        </is>
      </c>
      <c r="C42" s="4" t="inlineStr">
        <is>
          <t>Owns MSL distribution / audience</t>
        </is>
      </c>
      <c r="D42" s="4" t="inlineStr">
        <is>
          <t>Large owned MSL audience</t>
        </is>
      </c>
      <c r="E42" s="15" t="n">
        <v>2</v>
      </c>
      <c r="F42" s="15" t="inlineStr"/>
      <c r="G42" s="15" t="n">
        <v>2</v>
      </c>
      <c r="H42" s="15" t="n">
        <v>1</v>
      </c>
      <c r="I42" s="15" t="n">
        <v>3</v>
      </c>
      <c r="J42" s="15" t="n">
        <v>1</v>
      </c>
      <c r="K42" s="15" t="n">
        <v>1</v>
      </c>
      <c r="L42" s="15" t="n">
        <v>1</v>
      </c>
      <c r="M42" s="15" t="n">
        <v>0</v>
      </c>
      <c r="N42" s="15" t="n">
        <v>0</v>
      </c>
      <c r="O42" s="15" t="n">
        <v>3</v>
      </c>
    </row>
    <row r="43">
      <c r="A43" s="4" t="inlineStr">
        <is>
          <t>D10.1</t>
        </is>
      </c>
      <c r="B43" s="4" t="inlineStr">
        <is>
          <t>Commercial transparency and value</t>
        </is>
      </c>
      <c r="C43" s="4" t="inlineStr">
        <is>
          <t>Public pricing</t>
        </is>
      </c>
      <c r="D43" s="4" t="inlineStr">
        <is>
          <t>Prices listed</t>
        </is>
      </c>
      <c r="E43" s="15" t="n">
        <v>1</v>
      </c>
      <c r="F43" s="15" t="inlineStr"/>
      <c r="G43" s="15" t="n">
        <v>3</v>
      </c>
      <c r="H43" s="15" t="n">
        <v>3</v>
      </c>
      <c r="I43" s="15" t="n">
        <v>2</v>
      </c>
      <c r="J43" s="15" t="n">
        <v>3</v>
      </c>
      <c r="K43" s="15" t="n">
        <v>0</v>
      </c>
      <c r="L43" s="15" t="n">
        <v>0</v>
      </c>
      <c r="M43" s="15" t="n">
        <v>0</v>
      </c>
      <c r="N43" s="15" t="n">
        <v>3</v>
      </c>
      <c r="O43" s="15" t="n">
        <v>3</v>
      </c>
    </row>
    <row r="44">
      <c r="A44" s="4" t="inlineStr">
        <is>
          <t>D10.2</t>
        </is>
      </c>
      <c r="B44" s="4" t="inlineStr">
        <is>
          <t>Commercial transparency and value</t>
        </is>
      </c>
      <c r="C44" s="4" t="inlineStr">
        <is>
          <t>Individual self-pay option</t>
        </is>
      </c>
      <c r="D44" s="4" t="inlineStr">
        <is>
          <t>Individuals can buy</t>
        </is>
      </c>
      <c r="E44" s="15" t="n">
        <v>2</v>
      </c>
      <c r="F44" s="15" t="inlineStr"/>
      <c r="G44" s="15" t="n">
        <v>3</v>
      </c>
      <c r="H44" s="15" t="n">
        <v>3</v>
      </c>
      <c r="I44" s="15" t="n">
        <v>3</v>
      </c>
      <c r="J44" s="15" t="n">
        <v>3</v>
      </c>
      <c r="K44" s="15" t="n">
        <v>1</v>
      </c>
      <c r="L44" s="15" t="n">
        <v>2</v>
      </c>
      <c r="M44" s="15" t="n">
        <v>0</v>
      </c>
      <c r="N44" s="15" t="n">
        <v>3</v>
      </c>
      <c r="O44" s="15" t="n">
        <v>3</v>
      </c>
    </row>
    <row r="45">
      <c r="A45" s="4" t="inlineStr">
        <is>
          <t>D10.3</t>
        </is>
      </c>
      <c r="B45" s="4" t="inlineStr">
        <is>
          <t>Commercial transparency and value</t>
        </is>
      </c>
      <c r="C45" s="4" t="inlineStr">
        <is>
          <t>Price reasonable for depth</t>
        </is>
      </c>
      <c r="D45" s="4" t="inlineStr">
        <is>
          <t>Strong value per hour of hands-on content</t>
        </is>
      </c>
      <c r="E45" s="15" t="n">
        <v>2</v>
      </c>
      <c r="F45" s="15" t="inlineStr"/>
      <c r="G45" s="15" t="n">
        <v>1</v>
      </c>
      <c r="H45" s="15" t="n">
        <v>2</v>
      </c>
      <c r="I45" s="15" t="n">
        <v>1</v>
      </c>
      <c r="J45" s="15" t="n">
        <v>2</v>
      </c>
      <c r="K45" s="15" t="n">
        <v>0</v>
      </c>
      <c r="L45" s="15" t="n">
        <v>1</v>
      </c>
      <c r="M45" s="15" t="n">
        <v>0</v>
      </c>
      <c r="N45" s="15" t="n">
        <v>2</v>
      </c>
      <c r="O45" s="15" t="n">
        <v>3</v>
      </c>
    </row>
    <row r="46">
      <c r="A46" s="4" t="inlineStr">
        <is>
          <t>D10.4</t>
        </is>
      </c>
      <c r="B46" s="4" t="inlineStr">
        <is>
          <t>Commercial transparency and value</t>
        </is>
      </c>
      <c r="C46" s="4" t="inlineStr">
        <is>
          <t>Free sample or trial</t>
        </is>
      </c>
      <c r="D46" s="4" t="inlineStr">
        <is>
          <t>Sample content available</t>
        </is>
      </c>
      <c r="E46" s="15" t="n">
        <v>1</v>
      </c>
      <c r="F46" s="15" t="inlineStr"/>
      <c r="G46" s="15" t="n">
        <v>1</v>
      </c>
      <c r="H46" s="15" t="n">
        <v>1</v>
      </c>
      <c r="I46" s="15" t="n">
        <v>2</v>
      </c>
      <c r="J46" s="15" t="n">
        <v>1</v>
      </c>
      <c r="K46" s="15" t="n">
        <v>2</v>
      </c>
      <c r="L46" s="15" t="n">
        <v>2</v>
      </c>
      <c r="M46" s="15" t="n">
        <v>0</v>
      </c>
      <c r="N46" s="15" t="n">
        <v>3</v>
      </c>
      <c r="O46" s="15" t="n">
        <v>3</v>
      </c>
    </row>
  </sheetData>
  <conditionalFormatting sqref="G5:O46">
    <cfRule type="colorScale" priority="1">
      <colorScale>
        <cfvo type="num" val="0"/>
        <cfvo type="num" val="1.5"/>
        <cfvo type="num" val="3"/>
        <color rgb="00F8696B"/>
        <color rgb="00FFEB84"/>
        <color rgb="0063BE7B"/>
      </colorScale>
    </cfRule>
  </conditionalFormatting>
  <dataValidations count="3">
    <dataValidation sqref="G5:O46" showDropDown="0" showInputMessage="0" showErrorMessage="1" allowBlank="0" type="whole" operator="between">
      <formula1>0</formula1>
      <formula2>3</formula2>
    </dataValidation>
    <dataValidation sqref="E5:E46" showDropDown="0" showInputMessage="0" showErrorMessage="1" allowBlank="0" type="whole" operator="between">
      <formula1>1</formula1>
      <formula2>3</formula2>
    </dataValidation>
    <dataValidation sqref="F5:F46" showDropDown="0" showInputMessage="0" showErrorMessage="0" allowBlank="1" type="list">
      <formula1>"Y"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s>
  <sheetData>
    <row r="1">
      <c r="A1" s="1" t="inlineStr">
        <is>
          <t>Evidence — paraphrased note behind each score</t>
        </is>
      </c>
    </row>
    <row r="2">
      <c r="A2" s="2" t="inlineStr">
        <is>
          <t>ID and criterion pull from Rubric. Sources sheet lists every URL.</t>
        </is>
      </c>
    </row>
    <row r="4" ht="32" customHeight="1">
      <c r="A4" s="5" t="inlineStr">
        <is>
          <t>ID</t>
        </is>
      </c>
      <c r="B4" s="5" t="inlineStr">
        <is>
          <t>Criterion</t>
        </is>
      </c>
      <c r="C4" s="5" t="inlineStr">
        <is>
          <t>MSL Society — evidence</t>
        </is>
      </c>
      <c r="D4" s="5" t="inlineStr">
        <is>
          <t>ACMA — evidence</t>
        </is>
      </c>
      <c r="E4" s="5" t="inlineStr">
        <is>
          <t>MAPS — evidence</t>
        </is>
      </c>
      <c r="F4" s="5" t="inlineStr">
        <is>
          <t>CELforPharma — evidence</t>
        </is>
      </c>
      <c r="G4" s="5" t="inlineStr">
        <is>
          <t>Eularis — evidence</t>
        </is>
      </c>
      <c r="H4" s="5" t="inlineStr">
        <is>
          <t>MA Value / MSL Mastery — evidence</t>
        </is>
      </c>
      <c r="I4" s="5" t="inlineStr">
        <is>
          <t>Inizio MSL Interact — evidence</t>
        </is>
      </c>
      <c r="J4" s="5" t="inlineStr">
        <is>
          <t>Section (horizontal) — evidence</t>
        </is>
      </c>
      <c r="K4" s="5" t="inlineStr">
        <is>
          <t>MSL AI Skills (design target) — evidence</t>
        </is>
      </c>
    </row>
    <row r="5">
      <c r="A5" s="4">
        <f>Rubric!A5</f>
        <v/>
      </c>
      <c r="B5" s="4">
        <f>Rubric!C5</f>
        <v/>
      </c>
      <c r="C5" s="4" t="inlineStr">
        <is>
          <t>Use cases named: KOL prep, AI-supported SLR, literature summarization, insight synthesis; within one 4-hour session</t>
        </is>
      </c>
      <c r="D5" s="4" t="inlineStr">
        <is>
          <t>Applied use for KOL profiling, literature review, physician inquiries; MSL insights module; not fully task-built</t>
        </is>
      </c>
      <c r="E5" s="4" t="inlineStr">
        <is>
          <t>Webinars discuss AI in MSL workflows; no curriculum built on MSL tasks</t>
        </is>
      </c>
      <c r="F5" s="4" t="inlineStr">
        <is>
          <t>Day 1 covers MA use cases: literature review, congress prep, competitor intel; Day 2 MSL insight analysis workshop</t>
        </is>
      </c>
      <c r="G5" s="4" t="inlineStr">
        <is>
          <t>function tracks include medical affairs; no named MSL tasks found</t>
        </is>
      </c>
      <c r="H5" s="4" t="inlineStr">
        <is>
          <t>Covers KOL profiling, pre-meeting planning, literature, email and congress; no published task curriculum</t>
        </is>
      </c>
      <c r="I5" s="4" t="inlineStr">
        <is>
          <t>Rehearses HCP conversations only; no literature triage, KOL profiling, insight or congress tasks</t>
        </is>
      </c>
      <c r="J5" s="4" t="inlineStr">
        <is>
          <t>Courses by business function only; no MSL tasks</t>
        </is>
      </c>
      <c r="K5" s="4" t="inlineStr">
        <is>
          <t>DESIGN TARGET — not evidence; specified in founder's meta-prompt (Aug 2026)</t>
        </is>
      </c>
    </row>
    <row r="6">
      <c r="A6" s="4">
        <f>Rubric!A6</f>
        <v/>
      </c>
      <c r="B6" s="4">
        <f>Rubric!C6</f>
        <v/>
      </c>
      <c r="C6" s="4" t="inlineStr">
        <is>
          <t>Ends with competency reflection; MSL-BC rests on 2017 job task analysis but no AI mapping</t>
        </is>
      </c>
      <c r="D6" s="4" t="inlineStr">
        <is>
          <t>Built on ACMA's own 13-competency framework; no published AI-to-JD mapping</t>
        </is>
      </c>
      <c r="E6" s="4" t="inlineStr">
        <is>
          <t>Org-wide 42-competency framework; no AI course mapping published</t>
        </is>
      </c>
      <c r="F6" s="4" t="inlineStr">
        <is>
          <t>no evidence found of mapping to an MSL competency framework</t>
        </is>
      </c>
      <c r="G6" s="4" t="inlineStr">
        <is>
          <t>no evidence found of competency framework mapping</t>
        </is>
      </c>
      <c r="H6" s="4" t="inlineStr">
        <is>
          <t>No evidence found of competency-framework mapping</t>
        </is>
      </c>
      <c r="I6" s="4" t="inlineStr">
        <is>
          <t>No evidence found of mapping to an MSL competency framework</t>
        </is>
      </c>
      <c r="J6" s="4" t="inlineStr">
        <is>
          <t>No evidence found of mapping to an MSL framework</t>
        </is>
      </c>
      <c r="K6" s="4" t="inlineStr">
        <is>
          <t>DESIGN TARGET — not evidence; specified in founder's meta-prompt (Aug 2026)</t>
        </is>
      </c>
    </row>
    <row r="7">
      <c r="A7" s="4">
        <f>Rubric!A7</f>
        <v/>
      </c>
      <c r="B7" s="4">
        <f>Rubric!C7</f>
        <v/>
      </c>
      <c r="C7" s="4" t="inlineStr">
        <is>
          <t>No evidence found of therapeutic-area examples or electives</t>
        </is>
      </c>
      <c r="D7" s="4" t="inlineStr">
        <is>
          <t>No evidence found of multi-TA examples or TA electives</t>
        </is>
      </c>
      <c r="E7" s="4" t="inlineStr">
        <is>
          <t>No evidence found of TA-specific AI examples</t>
        </is>
      </c>
      <c r="F7" s="4" t="inlineStr">
        <is>
          <t>no evidence found of multi-TA examples or TA electives</t>
        </is>
      </c>
      <c r="G7" s="4" t="inlineStr">
        <is>
          <t>no evidence found of multi-TA examples</t>
        </is>
      </c>
      <c r="H7" s="4" t="inlineStr">
        <is>
          <t>Testimonials span several TAs; no TA-specific AI examples</t>
        </is>
      </c>
      <c r="I7" s="4" t="inlineStr">
        <is>
          <t>Avatars specific to a therapeutic area and configurable; no named TAs or worked examples</t>
        </is>
      </c>
      <c r="J7" s="4" t="inlineStr">
        <is>
          <t>No therapeutic-area or healthcare examples in catalog</t>
        </is>
      </c>
      <c r="K7" s="4" t="inlineStr">
        <is>
          <t>DESIGN TARGET — not evidence; specified in founder's meta-prompt (Aug 2026)</t>
        </is>
      </c>
    </row>
    <row r="8">
      <c r="A8" s="4">
        <f>Rubric!A8</f>
        <v/>
      </c>
      <c r="B8" s="4">
        <f>Rubric!C8</f>
        <v/>
      </c>
      <c r="C8" s="4" t="inlineStr">
        <is>
          <t>One track only; no new/senior/manager AI pathways</t>
        </is>
      </c>
      <c r="D8" s="4" t="inlineStr">
        <is>
          <t>Single certification for all levels</t>
        </is>
      </c>
      <c r="E8" s="4" t="inlineStr">
        <is>
          <t>AI Foundations then advanced course; no role tracks</t>
        </is>
      </c>
      <c r="F8" s="4" t="inlineStr">
        <is>
          <t>one course for all levels; no seniority tracks found</t>
        </is>
      </c>
      <c r="G8" s="4" t="inlineStr">
        <is>
          <t>executive fluency and operational tracks; not MSL seniority tracks</t>
        </is>
      </c>
      <c r="H8" s="4" t="inlineStr">
        <is>
          <t>New-MSL and leader programs exist but not AI-specific tracks</t>
        </is>
      </c>
      <c r="I8" s="4" t="inlineStr">
        <is>
          <t>Says it supports onboarding through advanced skill development; no documented tracks</t>
        </is>
      </c>
      <c r="J8" s="4" t="inlineStr">
        <is>
          <t>Beginner to advanced courses plus team-leader and Head of AI tracks</t>
        </is>
      </c>
      <c r="K8" s="4" t="inlineStr">
        <is>
          <t>DESIGN TARGET — not evidence; specified in founder's meta-prompt (Aug 2026)</t>
        </is>
      </c>
    </row>
    <row r="9">
      <c r="A9" s="4">
        <f>Rubric!A9</f>
        <v/>
      </c>
      <c r="B9" s="4">
        <f>Rubric!C9</f>
        <v/>
      </c>
      <c r="C9" s="4" t="inlineStr">
        <is>
          <t>Outcomes include applying prompt strategies for accuracy and compliance; hands-on exercises not stated</t>
        </is>
      </c>
      <c r="D9" s="4" t="inlineStr">
        <is>
          <t>Prompt engineering for medical affairs listed; simulation cases mentioned; exercise detail unclear</t>
        </is>
      </c>
      <c r="E9" s="4" t="inlineStr">
        <is>
          <t>No evidence found of hands-on prompt exercises</t>
        </is>
      </c>
      <c r="F9" s="4" t="inlineStr">
        <is>
          <t>hands-on prompting and literature classification exercises on Day 1</t>
        </is>
      </c>
      <c r="G9" s="4" t="inlineStr">
        <is>
          <t>AI-cademy cheatsheets on LLM prompts; no exercises found</t>
        </is>
      </c>
      <c r="H9" s="4" t="inlineStr">
        <is>
          <t>Hands-on Copilot prompt writing; participants leave with reusable prompts</t>
        </is>
      </c>
      <c r="I9" s="4" t="inlineStr">
        <is>
          <t>No evidence found; rehearsal tool, does not teach prompting</t>
        </is>
      </c>
      <c r="J9" s="4" t="inlineStr">
        <is>
          <t>Prompt course and AI-scored prompting simulations; generic, not medical</t>
        </is>
      </c>
      <c r="K9" s="4" t="inlineStr">
        <is>
          <t>DESIGN TARGET — not evidence; specified in founder's meta-prompt (Aug 2026)</t>
        </is>
      </c>
    </row>
    <row r="10">
      <c r="A10" s="4">
        <f>Rubric!A10</f>
        <v/>
      </c>
      <c r="B10" s="4">
        <f>Rubric!C10</f>
        <v/>
      </c>
      <c r="C10" s="4" t="inlineStr">
        <is>
          <t>Names ChatGPT and Elicit only; no chaining with email, calendar, CRM</t>
        </is>
      </c>
      <c r="D10" s="4" t="inlineStr">
        <is>
          <t>Names ChatGPT, Claude, Gemini, Perplexity; no workflow chaining</t>
        </is>
      </c>
      <c r="E10" s="4" t="inlineStr">
        <is>
          <t>No evidence found</t>
        </is>
      </c>
      <c r="F10" s="4" t="inlineStr">
        <is>
          <t>agentic AI planning session; no email/calendar/CRM chaining exercises found</t>
        </is>
      </c>
      <c r="G10" s="4" t="inlineStr">
        <is>
          <t>operational AI workflows mentioned; no tool-chaining exercises</t>
        </is>
      </c>
      <c r="H10" s="4" t="inlineStr">
        <is>
          <t>Email organizing, Outlook integration and scheduled prompts; exercise depth unclear</t>
        </is>
      </c>
      <c r="I10" s="4" t="inlineStr">
        <is>
          <t>No evidence found of teaching AI workflows or tool chaining</t>
        </is>
      </c>
      <c r="J10" s="4" t="inlineStr">
        <is>
          <t>Courses on custom GPT with Zapier and team workflows</t>
        </is>
      </c>
      <c r="K10" s="4" t="inlineStr">
        <is>
          <t>DESIGN TARGET — not evidence; specified in founder's meta-prompt (Aug 2026)</t>
        </is>
      </c>
    </row>
    <row r="11">
      <c r="A11" s="4">
        <f>Rubric!A11</f>
        <v/>
      </c>
      <c r="B11" s="4">
        <f>Rubric!C11</f>
        <v/>
      </c>
      <c r="C11" s="4" t="inlineStr">
        <is>
          <t>No evidence found of no-code or vibe-coding app building</t>
        </is>
      </c>
      <c r="D11" s="4" t="inlineStr">
        <is>
          <t>No evidence found of vibe coding or app building</t>
        </is>
      </c>
      <c r="E11" s="4" t="inlineStr">
        <is>
          <t>No evidence found</t>
        </is>
      </c>
      <c r="F11" s="4" t="inlineStr">
        <is>
          <t>AI-assisted coding workshop in Google Colab for MSL insight analysis</t>
        </is>
      </c>
      <c r="G11" s="4" t="inlineStr">
        <is>
          <t>no evidence found of no-code or vibe-coding builds</t>
        </is>
      </c>
      <c r="H11" s="4" t="inlineStr">
        <is>
          <t>No evidence found of vibe coding or app building</t>
        </is>
      </c>
      <c r="I11" s="4" t="inlineStr">
        <is>
          <t>No evidence found of no-code or vibe-coding building</t>
        </is>
      </c>
      <c r="J11" s="4" t="inlineStr">
        <is>
          <t>No vibe-coding course; no-code agents in Copilot Studio only</t>
        </is>
      </c>
      <c r="K11" s="4" t="inlineStr">
        <is>
          <t>DESIGN TARGET — not evidence; specified in founder's meta-prompt (Aug 2026)</t>
        </is>
      </c>
    </row>
    <row r="12">
      <c r="A12" s="4">
        <f>Rubric!A12</f>
        <v/>
      </c>
      <c r="B12" s="4">
        <f>Rubric!C12</f>
        <v/>
      </c>
      <c r="C12" s="4" t="inlineStr">
        <is>
          <t>AI agents explained; MSLs learn to work with technical teams rather than build</t>
        </is>
      </c>
      <c r="D12" s="4" t="inlineStr">
        <is>
          <t>Press release says learners build no-code AI agents; guardrails/evaluation not described</t>
        </is>
      </c>
      <c r="E12" s="4" t="inlineStr">
        <is>
          <t>No evidence found of building GPTs or agents</t>
        </is>
      </c>
      <c r="F12" s="4" t="inlineStr">
        <is>
          <t>conversational AI for HCP education and agent planning; no build-and-test of own assistant</t>
        </is>
      </c>
      <c r="G12" s="4" t="inlineStr">
        <is>
          <t>no evidence found of building custom assistants or agents</t>
        </is>
      </c>
      <c r="H12" s="4" t="inlineStr">
        <is>
          <t>Learners build an agent in Copilot or ChatGPT; no guardrails or evaluation taught</t>
        </is>
      </c>
      <c r="I12" s="4" t="inlineStr">
        <is>
          <t>No evidence found of learners building assistants or agents</t>
        </is>
      </c>
      <c r="J12" s="4" t="inlineStr">
        <is>
          <t>Learners build custom GPTs and Claude/ChatGPT/Copilot agents; guardrails and evaluation not evidenced</t>
        </is>
      </c>
      <c r="K12" s="4" t="inlineStr">
        <is>
          <t>DESIGN TARGET — not evidence; specified in founder's meta-prompt (Aug 2026)</t>
        </is>
      </c>
    </row>
    <row r="13">
      <c r="A13" s="4">
        <f>Rubric!A13</f>
        <v/>
      </c>
      <c r="B13" s="4">
        <f>Rubric!C13</f>
        <v/>
      </c>
      <c r="C13" s="4" t="inlineStr">
        <is>
          <t>No evidence found of automation with human review gates</t>
        </is>
      </c>
      <c r="D13" s="4" t="inlineStr">
        <is>
          <t>Agent automation of repetitive tasks mentioned; no review gates</t>
        </is>
      </c>
      <c r="E13" s="4" t="inlineStr">
        <is>
          <t>No evidence found</t>
        </is>
      </c>
      <c r="F13" s="4" t="inlineStr">
        <is>
          <t>agentic planning mentioned; no automation exercises with human review gates</t>
        </is>
      </c>
      <c r="G13" s="4" t="inlineStr">
        <is>
          <t>no evidence found of automation with review gates</t>
        </is>
      </c>
      <c r="H13" s="4" t="inlineStr">
        <is>
          <t>Scheduled prompts taught; human review only in a blog example</t>
        </is>
      </c>
      <c r="I13" s="4" t="inlineStr">
        <is>
          <t>No evidence found of teaching automation</t>
        </is>
      </c>
      <c r="J13" s="4" t="inlineStr">
        <is>
          <t>Zapier automation taught; no explicit human review gates</t>
        </is>
      </c>
      <c r="K13" s="4" t="inlineStr">
        <is>
          <t>DESIGN TARGET — not evidence; specified in founder's meta-prompt (Aug 2026)</t>
        </is>
      </c>
    </row>
    <row r="14">
      <c r="A14" s="4">
        <f>Rubric!A14</f>
        <v/>
      </c>
      <c r="B14" s="4">
        <f>Rubric!C14</f>
        <v/>
      </c>
      <c r="C14" s="4" t="inlineStr">
        <is>
          <t>Only output is a personal AI learning and action plan</t>
        </is>
      </c>
      <c r="D14" s="4" t="inlineStr">
        <is>
          <t>Productivity tools listed; no per-module artifact</t>
        </is>
      </c>
      <c r="E14" s="4" t="inlineStr">
        <is>
          <t>No evidence found</t>
        </is>
      </c>
      <c r="F14" s="4" t="inlineStr">
        <is>
          <t>project prioritisation and development workshops; artifact per module not documented</t>
        </is>
      </c>
      <c r="G14" s="4" t="inlineStr">
        <is>
          <t>learners leave with a personal AI plan; no per-module artifacts</t>
        </is>
      </c>
      <c r="H14" s="4" t="inlineStr">
        <is>
          <t>Workshop yields one agent and prompts; no per-module artifacts</t>
        </is>
      </c>
      <c r="I14" s="4" t="inlineStr">
        <is>
          <t>No evidence found of learners producing work artifacts</t>
        </is>
      </c>
      <c r="J14" s="4" t="inlineStr">
        <is>
          <t>Learners save AI use cases; no artifact per module</t>
        </is>
      </c>
      <c r="K14" s="4" t="inlineStr">
        <is>
          <t>DESIGN TARGET — not evidence; specified in founder's meta-prompt (Aug 2026)</t>
        </is>
      </c>
    </row>
    <row r="15">
      <c r="A15" s="4">
        <f>Rubric!A15</f>
        <v/>
      </c>
      <c r="B15" s="4">
        <f>Rubric!C15</f>
        <v/>
      </c>
      <c r="C15" s="4" t="inlineStr">
        <is>
          <t>Generic AI compliance-risk and ethics module; no explicit off-label or PhRMA Code content</t>
        </is>
      </c>
      <c r="D15" s="4" t="inlineStr">
        <is>
          <t>Compliance and data privacy module, FDA and industry standards; PhRMA attestation sold separately</t>
        </is>
      </c>
      <c r="E15" s="4" t="inlineStr">
        <is>
          <t>Podcast touches codes of practice and FDA guidance; no off-label AI module</t>
        </is>
      </c>
      <c r="F15" s="4" t="inlineStr">
        <is>
          <t>responsible AI covers disclosure; no explicit off-label/promotional/PhRMA content found</t>
        </is>
      </c>
      <c r="G15" s="4" t="inlineStr">
        <is>
          <t>no evidence found of promotional/off-label/PhRMA content</t>
        </is>
      </c>
      <c r="H15" s="4" t="inlineStr">
        <is>
          <t>Compliance mentioned only in a testimonial; no promotional/off-label module</t>
        </is>
      </c>
      <c r="I15" s="4" t="inlineStr">
        <is>
          <t>Aims at compliant HCP engagement; no content on off-label or PhRMA Code</t>
        </is>
      </c>
      <c r="J15" s="4" t="inlineStr">
        <is>
          <t>No pharma promotional-compliance content</t>
        </is>
      </c>
      <c r="K15" s="4" t="inlineStr">
        <is>
          <t>DESIGN TARGET — not evidence; specified in founder's meta-prompt (Aug 2026)</t>
        </is>
      </c>
    </row>
    <row r="16">
      <c r="A16" s="4">
        <f>Rubric!A16</f>
        <v/>
      </c>
      <c r="B16" s="4">
        <f>Rubric!C16</f>
        <v/>
      </c>
      <c r="C16" s="4" t="inlineStr">
        <is>
          <t>No evidence found of PHI, confidential data, enterprise-tool or HIPAA content</t>
        </is>
      </c>
      <c r="D16" s="4" t="inlineStr">
        <is>
          <t>Covers data privacy risks and compliant AI workflows; HIPAA/PHI specifics not stated</t>
        </is>
      </c>
      <c r="E16" s="4" t="inlineStr">
        <is>
          <t>Podcast on GDPR and proprietary data leakage to LLMs; not a module</t>
        </is>
      </c>
      <c r="F16" s="4" t="inlineStr">
        <is>
          <t>privacy and prompt injection listed; no HIPAA or enterprise-tool guidance</t>
        </is>
      </c>
      <c r="G16" s="4" t="inlineStr">
        <is>
          <t>foundations cover governance and data readiness; no PHI/HIPAA specifics</t>
        </is>
      </c>
      <c r="H16" s="4" t="inlineStr">
        <is>
          <t>No evidence found of data governance, PHI or HIPAA content</t>
        </is>
      </c>
      <c r="I16" s="4" t="inlineStr">
        <is>
          <t>No evidence found on PHI or data-governance content</t>
        </is>
      </c>
      <c r="J16" s="4" t="inlineStr">
        <is>
          <t>Generic Responsible AI Use module; no PHI or HIPAA content</t>
        </is>
      </c>
      <c r="K16" s="4" t="inlineStr">
        <is>
          <t>DESIGN TARGET — not evidence; specified in founder's meta-prompt (Aug 2026)</t>
        </is>
      </c>
    </row>
    <row r="17">
      <c r="A17" s="4">
        <f>Rubric!A17</f>
        <v/>
      </c>
      <c r="B17" s="4">
        <f>Rubric!C17</f>
        <v/>
      </c>
      <c r="C17" s="4" t="inlineStr">
        <is>
          <t>No evidence found of pharmacovigilance or AE routing content</t>
        </is>
      </c>
      <c r="D17" s="4" t="inlineStr">
        <is>
          <t>PV module exists but description duplicates AI text; no AI AE routing stated</t>
        </is>
      </c>
      <c r="E17" s="4" t="inlineStr">
        <is>
          <t>Pharmacovigilance mentioned in passing in audit article</t>
        </is>
      </c>
      <c r="F17" s="4" t="inlineStr">
        <is>
          <t>no evidence found of pharmacovigilance or AE routing content</t>
        </is>
      </c>
      <c r="G17" s="4" t="inlineStr">
        <is>
          <t>no evidence found of pharmacovigilance content</t>
        </is>
      </c>
      <c r="H17" s="4" t="inlineStr">
        <is>
          <t>No evidence found of pharmacovigilance content</t>
        </is>
      </c>
      <c r="I17" s="4" t="inlineStr">
        <is>
          <t>No evidence found on pharmacovigilance or AE routing</t>
        </is>
      </c>
      <c r="J17" s="4" t="inlineStr">
        <is>
          <t>No evidence found on pharmacovigilance</t>
        </is>
      </c>
      <c r="K17" s="4" t="inlineStr">
        <is>
          <t>DESIGN TARGET — not evidence; specified in founder's meta-prompt (Aug 2026)</t>
        </is>
      </c>
    </row>
    <row r="18">
      <c r="A18" s="4">
        <f>Rubric!A18</f>
        <v/>
      </c>
      <c r="B18" s="4">
        <f>Rubric!C18</f>
        <v/>
      </c>
      <c r="C18" s="4" t="inlineStr">
        <is>
          <t>Teaches critical human review and duty to verify AI outputs; MLR not named</t>
        </is>
      </c>
      <c r="D18" s="4" t="inlineStr">
        <is>
          <t>Compliance module covers documentation and review; hallucination risk taught; MLR not explicit</t>
        </is>
      </c>
      <c r="E18" s="4" t="inlineStr">
        <is>
          <t>Human oversight a theme of podcast and audit framework</t>
        </is>
      </c>
      <c r="F18" s="4" t="inlineStr">
        <is>
          <t>medical content review and hallucinations discussed; MLR review not explicit</t>
        </is>
      </c>
      <c r="G18" s="4" t="inlineStr">
        <is>
          <t>foundations include evaluating AI output for regulatory workflows</t>
        </is>
      </c>
      <c r="H18" s="4" t="inlineStr">
        <is>
          <t>Hallucination covered; MSL reviews output before sending; no MLR content</t>
        </is>
      </c>
      <c r="I18" s="4" t="inlineStr">
        <is>
          <t>Human oversight central to product governance; not taught to learners</t>
        </is>
      </c>
      <c r="J18" s="4" t="inlineStr">
        <is>
          <t>No evidence found on MLR or human scientific review</t>
        </is>
      </c>
      <c r="K18" s="4" t="inlineStr">
        <is>
          <t>DESIGN TARGET — not evidence; specified in founder's meta-prompt (Aug 2026)</t>
        </is>
      </c>
    </row>
    <row r="19">
      <c r="A19" s="4">
        <f>Rubric!A19</f>
        <v/>
      </c>
      <c r="B19" s="4">
        <f>Rubric!C19</f>
        <v/>
      </c>
      <c r="C19" s="4" t="inlineStr">
        <is>
          <t>No evidence found on prototypes vs IT-governed production</t>
        </is>
      </c>
      <c r="D19" s="4" t="inlineStr">
        <is>
          <t>No evidence found on prototypes vs production systems</t>
        </is>
      </c>
      <c r="E19" s="4" t="inlineStr">
        <is>
          <t>No evidence found</t>
        </is>
      </c>
      <c r="F19" s="4" t="inlineStr">
        <is>
          <t>no evidence found on prototype vs IT-governed production</t>
        </is>
      </c>
      <c r="G19" s="4" t="inlineStr">
        <is>
          <t>GxP and validation covered; prototype vs production not explicit</t>
        </is>
      </c>
      <c r="H19" s="4" t="inlineStr">
        <is>
          <t>No evidence found</t>
        </is>
      </c>
      <c r="I19" s="4" t="inlineStr">
        <is>
          <t>No evidence found</t>
        </is>
      </c>
      <c r="J19" s="4" t="inlineStr">
        <is>
          <t>No evidence found</t>
        </is>
      </c>
      <c r="K19" s="4" t="inlineStr">
        <is>
          <t>DESIGN TARGET — not evidence; specified in founder's meta-prompt (Aug 2026)</t>
        </is>
      </c>
    </row>
    <row r="20">
      <c r="A20" s="4">
        <f>Rubric!A20</f>
        <v/>
      </c>
      <c r="B20" s="4">
        <f>Rubric!C20</f>
        <v/>
      </c>
      <c r="C20" s="4" t="inlineStr">
        <is>
          <t>One 4-hour block; no microlearning units</t>
        </is>
      </c>
      <c r="D20" s="4" t="inlineStr">
        <is>
          <t>13 modules over about 30 hours; no short units documented</t>
        </is>
      </c>
      <c r="E20" s="4" t="inlineStr">
        <is>
          <t>15-minute microsessions in non-AI Foundations; AI advanced course about 120 minutes</t>
        </is>
      </c>
      <c r="F20" s="4" t="inlineStr">
        <is>
          <t>two full-day sessions; no microlearning units</t>
        </is>
      </c>
      <c r="G20" s="4" t="inlineStr">
        <is>
          <t>50+ how-to videos; unit length not stated</t>
        </is>
      </c>
      <c r="H20" s="4" t="inlineStr">
        <is>
          <t>60-minute workshop; agent built in under 15 minutes; no microlearning units</t>
        </is>
      </c>
      <c r="I20" s="4" t="inlineStr">
        <is>
          <t>No evidence found on session length</t>
        </is>
      </c>
      <c r="J20" s="4" t="inlineStr">
        <is>
          <t>Courses run 1.5 to 2 hours; lesson length not stated</t>
        </is>
      </c>
      <c r="K20" s="4" t="inlineStr">
        <is>
          <t>DESIGN TARGET — not evidence; specified in founder's meta-prompt (Aug 2026)</t>
        </is>
      </c>
    </row>
    <row r="21">
      <c r="A21" s="4">
        <f>Rubric!A21</f>
        <v/>
      </c>
      <c r="B21" s="4">
        <f>Rubric!C21</f>
        <v/>
      </c>
      <c r="C21" s="4" t="inlineStr">
        <is>
          <t>Live Zoom only; no on-demand or recording stated</t>
        </is>
      </c>
      <c r="D21" s="4" t="inlineStr">
        <is>
          <t>Online self-paced LMS; mobile stated for AMSL only</t>
        </is>
      </c>
      <c r="E21" s="4" t="inlineStr">
        <is>
          <t>AI course on-demand with mobile access, per search listing</t>
        </is>
      </c>
      <c r="F21" s="4" t="inlineStr">
        <is>
          <t>face-to-face or live online only; no self-paced access found</t>
        </is>
      </c>
      <c r="G21" s="4" t="inlineStr">
        <is>
          <t>recorded library and on-demand course; mobile use not stated</t>
        </is>
      </c>
      <c r="H21" s="4" t="inlineStr">
        <is>
          <t>On-demand replay and resources; mobile not stated</t>
        </is>
      </c>
      <c r="I21" s="4" t="inlineStr">
        <is>
          <t>Web-based, on demand, anytime; mobile not specified</t>
        </is>
      </c>
      <c r="J21" s="4" t="inlineStr">
        <is>
          <t>On-demand catalog; mobile use not stated</t>
        </is>
      </c>
      <c r="K21" s="4" t="inlineStr">
        <is>
          <t>DESIGN TARGET — not evidence; specified in founder's meta-prompt (Aug 2026)</t>
        </is>
      </c>
    </row>
    <row r="22">
      <c r="A22" s="4">
        <f>Rubric!A22</f>
        <v/>
      </c>
      <c r="B22" s="4">
        <f>Rubric!C22</f>
        <v/>
      </c>
      <c r="C22" s="4" t="inlineStr">
        <is>
          <t>No evidence found of prompt library, job aids or spaced review</t>
        </is>
      </c>
      <c r="D22" s="4" t="inlineStr">
        <is>
          <t>Knowledge checks and productivity tools; no prompt library</t>
        </is>
      </c>
      <c r="E22" s="4" t="inlineStr">
        <is>
          <t>Knowledge Center library; no prompt library or job aids</t>
        </is>
      </c>
      <c r="F22" s="4" t="inlineStr">
        <is>
          <t>digital and hard-copy materials; no prompt library or spaced review</t>
        </is>
      </c>
      <c r="G22" s="4" t="inlineStr">
        <is>
          <t>cheatsheets, recorded library and AI clip search</t>
        </is>
      </c>
      <c r="H22" s="4" t="inlineStr">
        <is>
          <t>Free prompt downloads and blog prompt library; no spaced review</t>
        </is>
      </c>
      <c r="I22" s="4" t="inlineStr">
        <is>
          <t>No evidence found of a prompt or asset library</t>
        </is>
      </c>
      <c r="J22" s="4" t="inlineStr">
        <is>
          <t>Use case library and AI work resources included</t>
        </is>
      </c>
      <c r="K22" s="4" t="inlineStr">
        <is>
          <t>DESIGN TARGET — not evidence; specified in founder's meta-prompt (Aug 2026)</t>
        </is>
      </c>
    </row>
    <row r="23">
      <c r="A23" s="4">
        <f>Rubric!A23</f>
        <v/>
      </c>
      <c r="B23" s="4">
        <f>Rubric!C23</f>
        <v/>
      </c>
      <c r="C23" s="4" t="inlineStr">
        <is>
          <t>Live sessions 12-4 PM ET (Nov 2025, Aug 2026) but irregular; next date TBD</t>
        </is>
      </c>
      <c r="D23" s="4" t="inlineStr">
        <is>
          <t>No live cohorts or office hours; chat support only</t>
        </is>
      </c>
      <c r="E23" s="4" t="inlineStr">
        <is>
          <t>Frequent live AI webinars 10-11 am ET; no office hours</t>
        </is>
      </c>
      <c r="F23" s="4" t="inlineStr">
        <is>
          <t>live sessions in CET, Brussels; no US-hours cohorts</t>
        </is>
      </c>
      <c r="G23" s="4" t="inlineStr">
        <is>
          <t>monthly virtual live sessions; time zone not stated</t>
        </is>
      </c>
      <c r="H23" s="4" t="inlineStr">
        <is>
          <t>Occasional live workshops in US time; no recurring office hours</t>
        </is>
      </c>
      <c r="I23" s="4" t="inlineStr">
        <is>
          <t>No evidence found of live cohorts or office hours</t>
        </is>
      </c>
      <c r="J23" s="4" t="inlineStr">
        <is>
          <t>Monthly office hours and live events in US Eastern time</t>
        </is>
      </c>
      <c r="K23" s="4" t="inlineStr">
        <is>
          <t>DESIGN TARGET — not evidence; specified in founder's meta-prompt (Aug 2026)</t>
        </is>
      </c>
    </row>
    <row r="24">
      <c r="A24" s="4">
        <f>Rubric!A24</f>
        <v/>
      </c>
      <c r="B24" s="4">
        <f>Rubric!C24</f>
        <v/>
      </c>
      <c r="C24" s="4" t="inlineStr">
        <is>
          <t>No evidence found of AI assessment; attendance-based session</t>
        </is>
      </c>
      <c r="D24" s="4" t="inlineStr">
        <is>
          <t>Proctored board exam plus practice exam and cases; knowledge-based, not practical AI task</t>
        </is>
      </c>
      <c r="E24" s="4" t="inlineStr">
        <is>
          <t>AI Foundations certificate needs 80% quiz score; knowledge test only</t>
        </is>
      </c>
      <c r="F24" s="4" t="inlineStr">
        <is>
          <t>no graded assessment; exercises only, attendance certificate</t>
        </is>
      </c>
      <c r="G24" s="4" t="inlineStr">
        <is>
          <t>no evidence found of performance assessment</t>
        </is>
      </c>
      <c r="H24" s="4" t="inlineStr">
        <is>
          <t>No evidence found of graded assessment</t>
        </is>
      </c>
      <c r="I24" s="4" t="inlineStr">
        <is>
          <t>Feedback on scientific knowledge and conversation skills; does not assess AI competence</t>
        </is>
      </c>
      <c r="J24" s="4" t="inlineStr">
        <is>
          <t>Knowledge test plus AI-scored prompting simulations; certificate needs no graded practical</t>
        </is>
      </c>
      <c r="K24" s="4" t="inlineStr">
        <is>
          <t>DESIGN TARGET — not evidence; specified in founder's meta-prompt (Aug 2026)</t>
        </is>
      </c>
    </row>
    <row r="25">
      <c r="A25" s="4">
        <f>Rubric!A25</f>
        <v/>
      </c>
      <c r="B25" s="4">
        <f>Rubric!C25</f>
        <v/>
      </c>
      <c r="C25" s="4" t="inlineStr">
        <is>
          <t>Org has MSL-BC credential but it does not cover AI; no AI certificate</t>
        </is>
      </c>
      <c r="D25" s="4" t="inlineStr">
        <is>
          <t>BCMAS named board certification used by pharma teams; recognition partly self-claimed</t>
        </is>
      </c>
      <c r="E25" s="4" t="inlineStr">
        <is>
          <t>Certificate of completion; CMAP credential not AI-specific</t>
        </is>
      </c>
      <c r="F25" s="4" t="inlineStr">
        <is>
          <t>attendance certificate signed by experts; not an industry credential</t>
        </is>
      </c>
      <c r="G25" s="4" t="inlineStr">
        <is>
          <t>no evidence found of certification</t>
        </is>
      </c>
      <c r="H25" s="4" t="inlineStr">
        <is>
          <t>No evidence found of a credential</t>
        </is>
      </c>
      <c r="I25" s="4" t="inlineStr">
        <is>
          <t>No evidence found of a credential</t>
        </is>
      </c>
      <c r="J25" s="4" t="inlineStr">
        <is>
          <t>Credly AI Proficiency badge; recognition by Section, not industry</t>
        </is>
      </c>
      <c r="K25" s="4" t="inlineStr">
        <is>
          <t>DESIGN TARGET — not evidence; specified in founder's meta-prompt (Aug 2026)</t>
        </is>
      </c>
    </row>
    <row r="26">
      <c r="A26" s="4">
        <f>Rubric!A26</f>
        <v/>
      </c>
      <c r="B26" s="4">
        <f>Rubric!C26</f>
        <v/>
      </c>
      <c r="C26" s="4" t="inlineStr">
        <is>
          <t>IACET provider, but AI course not listed for CEUs</t>
        </is>
      </c>
      <c r="D26" s="4" t="inlineStr">
        <is>
          <t>5 CME/CPE credits via ScientiaCME on four modules; none on AI module</t>
        </is>
      </c>
      <c r="E26" s="4" t="inlineStr">
        <is>
          <t>IACET-aligned learner records; no AI-specific credit</t>
        </is>
      </c>
      <c r="F26" s="4" t="inlineStr">
        <is>
          <t>no CE/CME accreditation stated</t>
        </is>
      </c>
      <c r="G26" s="4" t="inlineStr">
        <is>
          <t>no evidence found of CE/CME</t>
        </is>
      </c>
      <c r="H26" s="4" t="inlineStr">
        <is>
          <t>No evidence found of CE credit</t>
        </is>
      </c>
      <c r="I26" s="4" t="inlineStr">
        <is>
          <t>No evidence found of CE or CME credit</t>
        </is>
      </c>
      <c r="J26" s="4" t="inlineStr">
        <is>
          <t>No evidence found of accredited CE credit</t>
        </is>
      </c>
      <c r="K26" s="4" t="inlineStr">
        <is>
          <t>DESIGN TARGET — not evidence; specified in founder's meta-prompt (Aug 2026)</t>
        </is>
      </c>
    </row>
    <row r="27">
      <c r="A27" s="4">
        <f>Rubric!A27</f>
        <v/>
      </c>
      <c r="B27" s="4">
        <f>Rubric!C27</f>
        <v/>
      </c>
      <c r="C27" s="4" t="inlineStr">
        <is>
          <t>No evidence found of a capstone</t>
        </is>
      </c>
      <c r="D27" s="4" t="inlineStr">
        <is>
          <t>No evidence found of a capstone</t>
        </is>
      </c>
      <c r="E27" s="4" t="inlineStr">
        <is>
          <t>No evidence found of an AI capstone</t>
        </is>
      </c>
      <c r="F27" s="4" t="inlineStr">
        <is>
          <t>project development workshop; no capstone with measured time saving</t>
        </is>
      </c>
      <c r="G27" s="4" t="inlineStr">
        <is>
          <t>no evidence found of capstone</t>
        </is>
      </c>
      <c r="H27" s="4" t="inlineStr">
        <is>
          <t>No evidence found of a capstone</t>
        </is>
      </c>
      <c r="I27" s="4" t="inlineStr">
        <is>
          <t>No evidence found of a capstone</t>
        </is>
      </c>
      <c r="J27" s="4" t="inlineStr">
        <is>
          <t>Learners develop a use case; no time-saving capstone</t>
        </is>
      </c>
      <c r="K27" s="4" t="inlineStr">
        <is>
          <t>DESIGN TARGET — not evidence; specified in founder's meta-prompt (Aug 2026)</t>
        </is>
      </c>
    </row>
    <row r="28">
      <c r="A28" s="4">
        <f>Rubric!A28</f>
        <v/>
      </c>
      <c r="B28" s="4">
        <f>Rubric!C28</f>
        <v/>
      </c>
      <c r="C28" s="4" t="inlineStr">
        <is>
          <t>No evidence found of pre/post metrics</t>
        </is>
      </c>
      <c r="D28" s="4" t="inlineStr">
        <is>
          <t>Pre/post knowledge check for AMSL; no efficiency metrics</t>
        </is>
      </c>
      <c r="E28" s="4" t="inlineStr">
        <is>
          <t>AI maturity framework is organizational, not learner pre/post</t>
        </is>
      </c>
      <c r="F28" s="4" t="inlineStr">
        <is>
          <t>no evidence found of pre/post metrics</t>
        </is>
      </c>
      <c r="G28" s="4" t="inlineStr">
        <is>
          <t>no evidence found of pre/post metrics</t>
        </is>
      </c>
      <c r="H28" s="4" t="inlineStr">
        <is>
          <t>Alignment call picks skills to measure; not AI-specific</t>
        </is>
      </c>
      <c r="I28" s="4" t="inlineStr">
        <is>
          <t>Recommends measuring what matters in pilots; no metrics defined</t>
        </is>
      </c>
      <c r="J28" s="4" t="inlineStr">
        <is>
          <t>Benchmark measures usage, knowledge and prompting; no pre/post plan</t>
        </is>
      </c>
      <c r="K28" s="4" t="inlineStr">
        <is>
          <t>DESIGN TARGET — not evidence; specified in founder's meta-prompt (Aug 2026)</t>
        </is>
      </c>
    </row>
    <row r="29">
      <c r="A29" s="4">
        <f>Rubric!A29</f>
        <v/>
      </c>
      <c r="B29" s="4">
        <f>Rubric!C29</f>
        <v/>
      </c>
      <c r="C29" s="4" t="inlineStr">
        <is>
          <t>Testimonials relate to onboarding training; no AI outcome numbers</t>
        </is>
      </c>
      <c r="D29" s="4" t="inlineStr">
        <is>
          <t>Claims 92% and 87% figures with no source</t>
        </is>
      </c>
      <c r="E29" s="4" t="inlineStr">
        <is>
          <t>No evidence found of quantified learner outcomes</t>
        </is>
      </c>
      <c r="F29" s="4" t="inlineStr">
        <is>
          <t>about 21 named testimonials, none quantified</t>
        </is>
      </c>
      <c r="G29" s="4" t="inlineStr">
        <is>
          <t>testimonials from Roche, Pfizer and others; no numbers</t>
        </is>
      </c>
      <c r="H29" s="4" t="inlineStr">
        <is>
          <t>Claims 15-20% skill gain and 500+ trained; AI outcomes anecdotal</t>
        </is>
      </c>
      <c r="I29" s="4" t="inlineStr">
        <is>
          <t>Claims measurable improvement but publishes no numbers</t>
        </is>
      </c>
      <c r="J29" s="4" t="inlineStr">
        <is>
          <t>Horizon Media 85% certified; Logitech 6,000 staff, 50% certified in 80 days</t>
        </is>
      </c>
      <c r="K29" s="4" t="inlineStr">
        <is>
          <t>DESIGN TARGET — not evidence; specified in founder's meta-prompt (Aug 2026)</t>
        </is>
      </c>
    </row>
    <row r="30">
      <c r="A30" s="4">
        <f>Rubric!A30</f>
        <v/>
      </c>
      <c r="B30" s="4">
        <f>Rubric!C30</f>
        <v/>
      </c>
      <c r="C30" s="4" t="inlineStr">
        <is>
          <t>No evidence found of manager or enterprise reporting</t>
        </is>
      </c>
      <c r="D30" s="4" t="inlineStr">
        <is>
          <t>No evidence found of manager dashboards</t>
        </is>
      </c>
      <c r="E30" s="4" t="inlineStr">
        <is>
          <t>No evidence found of manager reporting</t>
        </is>
      </c>
      <c r="F30" s="4" t="inlineStr">
        <is>
          <t>no evidence found of manager or enterprise reporting</t>
        </is>
      </c>
      <c r="G30" s="4" t="inlineStr">
        <is>
          <t>per-person records available to sponsor; no dashboard described</t>
        </is>
      </c>
      <c r="H30" s="4" t="inlineStr">
        <is>
          <t>Promises impact shown to leadership; no dashboard</t>
        </is>
      </c>
      <c r="I30" s="4" t="inlineStr">
        <is>
          <t>Performance dashboards let leaders track readiness and gaps by team</t>
        </is>
      </c>
      <c r="J30" s="4" t="inlineStr">
        <is>
          <t>Admin reporting dashboard and usage analytics</t>
        </is>
      </c>
      <c r="K30" s="4" t="inlineStr">
        <is>
          <t>DESIGN TARGET — not evidence; specified in founder's meta-prompt (Aug 2026)</t>
        </is>
      </c>
    </row>
    <row r="31">
      <c r="A31" s="4">
        <f>Rubric!A31</f>
        <v/>
      </c>
      <c r="B31" s="4">
        <f>Rubric!C31</f>
        <v/>
      </c>
      <c r="C31" s="4" t="inlineStr">
        <is>
          <t>No refresh cadence; content largely unchanged 2025 to 2026</t>
        </is>
      </c>
      <c r="D31" s="4" t="inlineStr">
        <is>
          <t>AI content added Nov 2025; no stated cadence</t>
        </is>
      </c>
      <c r="E31" s="4" t="inlineStr">
        <is>
          <t>Frequent new AI webinars; no stated refresh cadence</t>
        </is>
      </c>
      <c r="F31" s="4" t="inlineStr">
        <is>
          <t>no stated content refresh cadence</t>
        </is>
      </c>
      <c r="G31" s="4" t="inlineStr">
        <is>
          <t>library said to grow regularly; no stated cadence</t>
        </is>
      </c>
      <c r="H31" s="4" t="inlineStr">
        <is>
          <t>No evidence found of a refresh cadence</t>
        </is>
      </c>
      <c r="I31" s="4" t="inlineStr">
        <is>
          <t>Continuously updated; no stated cadence</t>
        </is>
      </c>
      <c r="J31" s="4" t="inlineStr">
        <is>
          <t>New dated courses roll out; no stated cadence</t>
        </is>
      </c>
      <c r="K31" s="4" t="inlineStr">
        <is>
          <t>DESIGN TARGET — not evidence; specified in founder's meta-prompt (Aug 2026)</t>
        </is>
      </c>
    </row>
    <row r="32">
      <c r="A32" s="4">
        <f>Rubric!A32</f>
        <v/>
      </c>
      <c r="B32" s="4">
        <f>Rubric!C32</f>
        <v/>
      </c>
      <c r="C32" s="4" t="inlineStr">
        <is>
          <t>Presenter is CEO (MD, PhD) with MSL expertise; AI expertise not documented</t>
        </is>
      </c>
      <c r="D32" s="4" t="inlineStr">
        <is>
          <t>Faculty not named</t>
        </is>
      </c>
      <c r="E32" s="4" t="inlineStr">
        <is>
          <t>Field medical leaders and applied-AI speakers; no dedicated AI faculty</t>
        </is>
      </c>
      <c r="F32" s="4" t="inlineStr">
        <is>
          <t>faculty billed as AI-in-medical-affairs pioneer plus healthcare comms/GenAI background</t>
        </is>
      </c>
      <c r="G32" s="4" t="inlineStr">
        <is>
          <t>founder is AI-in-pharma expert; no medical affairs faculty named</t>
        </is>
      </c>
      <c r="H32" s="4" t="inlineStr">
        <is>
          <t>Named PhD medical-affairs lead and 20-year MSL co-lead; AI expertise self-described</t>
        </is>
      </c>
      <c r="I32" s="4" t="inlineStr">
        <is>
          <t>No named faculty with medical-affairs and AI expertise</t>
        </is>
      </c>
      <c r="J32" s="4" t="inlineStr">
        <is>
          <t>Named instructors, none with medical-affairs expertise</t>
        </is>
      </c>
      <c r="K32" s="4" t="inlineStr">
        <is>
          <t>DESIGN TARGET — not evidence; specified in founder's meta-prompt (Aug 2026)</t>
        </is>
      </c>
    </row>
    <row r="33">
      <c r="A33" s="4">
        <f>Rubric!A33</f>
        <v/>
      </c>
      <c r="B33" s="4">
        <f>Rubric!C33</f>
        <v/>
      </c>
      <c r="C33" s="4" t="inlineStr">
        <is>
          <t>Only ChatGPT and Elicit named</t>
        </is>
      </c>
      <c r="D33" s="4" t="inlineStr">
        <is>
          <t>Covers ChatGPT, Claude, Gemini and Perplexity</t>
        </is>
      </c>
      <c r="E33" s="4" t="inlineStr">
        <is>
          <t>No evidence found of tool coverage</t>
        </is>
      </c>
      <c r="F33" s="4" t="inlineStr">
        <is>
          <t>covers Copilot, ChatGPT, Claude plus media tools; Gemini not named</t>
        </is>
      </c>
      <c r="G33" s="4" t="inlineStr">
        <is>
          <t>no named AI tools found</t>
        </is>
      </c>
      <c r="H33" s="4" t="inlineStr">
        <is>
          <t>Covers Copilot, ChatGPT, custom GPTs, NotebookLM; not Claude or Gemini</t>
        </is>
      </c>
      <c r="I33" s="4" t="inlineStr">
        <is>
          <t>No evidence found of coverage of enterprise AI tools</t>
        </is>
      </c>
      <c r="J33" s="4" t="inlineStr">
        <is>
          <t>Covers ChatGPT, Copilot and Claude</t>
        </is>
      </c>
      <c r="K33" s="4" t="inlineStr">
        <is>
          <t>DESIGN TARGET — not evidence; specified in founder's meta-prompt (Aug 2026)</t>
        </is>
      </c>
    </row>
    <row r="34">
      <c r="A34" s="4">
        <f>Rubric!A34</f>
        <v/>
      </c>
      <c r="B34" s="4">
        <f>Rubric!C34</f>
        <v/>
      </c>
      <c r="C34" s="4" t="inlineStr">
        <is>
          <t>Team licences, group discount and custom team delivery on request</t>
        </is>
      </c>
      <c r="D34" s="4" t="inlineStr">
        <is>
          <t>BCMAS for Teams offers; no published terms</t>
        </is>
      </c>
      <c r="E34" s="4" t="inlineStr">
        <is>
          <t>Team tiers, partnership program with eCademy for all staff, onsite MasterClass</t>
        </is>
      </c>
      <c r="F34" s="4" t="inlineStr">
        <is>
          <t>in-company formats (on-site, online, hybrid) and group discounts documented</t>
        </is>
      </c>
      <c r="G34" s="4" t="inlineStr">
        <is>
          <t>business-unit licence and masterclass enterprise licence documented</t>
        </is>
      </c>
      <c r="H34" s="4" t="inlineStr">
        <is>
          <t>Customized company and team training documented</t>
        </is>
      </c>
      <c r="I34" s="4" t="inlineStr">
        <is>
          <t>Enterprise pilot-then-field rollout; no licensing terms published</t>
        </is>
      </c>
      <c r="J34" s="4" t="inlineStr">
        <is>
          <t>Small-team, large-team and transformation plans</t>
        </is>
      </c>
      <c r="K34" s="4" t="inlineStr">
        <is>
          <t>DESIGN TARGET — not evidence; specified in founder's meta-prompt (Aug 2026)</t>
        </is>
      </c>
    </row>
    <row r="35">
      <c r="A35" s="4">
        <f>Rubric!A35</f>
        <v/>
      </c>
      <c r="B35" s="4">
        <f>Rubric!C35</f>
        <v/>
      </c>
      <c r="C35" s="4" t="inlineStr">
        <is>
          <t>No evidence found of trust page, SOC 2/ISO or data-handling statement</t>
        </is>
      </c>
      <c r="D35" s="4" t="inlineStr">
        <is>
          <t>Privacy policy only; no SOC 2/ISO</t>
        </is>
      </c>
      <c r="E35" s="4" t="inlineStr">
        <is>
          <t>Detailed privacy notice, PCI-DSS, encryption; no SOC 2/ISO</t>
        </is>
      </c>
      <c r="F35" s="4" t="inlineStr">
        <is>
          <t>privacy policy link only; no SOC 2/ISO or trust page</t>
        </is>
      </c>
      <c r="G35" s="4" t="inlineStr">
        <is>
          <t>privacy policy only, relies on outdated Privacy Shield; no SOC 2/ISO</t>
        </is>
      </c>
      <c r="H35" s="4" t="inlineStr">
        <is>
          <t>Generic privacy policy; no SOC 2 or ISO</t>
        </is>
      </c>
      <c r="I35" s="4" t="inlineStr">
        <is>
          <t>No evidence found of security, ISO or SOC 2 statement</t>
        </is>
      </c>
      <c r="J35" s="4" t="inlineStr">
        <is>
          <t>Privacy notice only; no SOC 2 or ISO evidence; trust center empty</t>
        </is>
      </c>
      <c r="K35" s="4" t="inlineStr">
        <is>
          <t>DESIGN TARGET — not evidence; specified in founder's meta-prompt (Aug 2026)</t>
        </is>
      </c>
    </row>
    <row r="36">
      <c r="A36" s="4">
        <f>Rubric!A36</f>
        <v/>
      </c>
      <c r="B36" s="4">
        <f>Rubric!C36</f>
        <v/>
      </c>
      <c r="C36" s="4" t="inlineStr">
        <is>
          <t>No evidence found of LMS or SSO integration</t>
        </is>
      </c>
      <c r="D36" s="4" t="inlineStr">
        <is>
          <t>Own LMS; no SSO or customer-LMS integration</t>
        </is>
      </c>
      <c r="E36" s="4" t="inlineStr">
        <is>
          <t>Secure LMS mentioned; no SSO or customer-LMS integration</t>
        </is>
      </c>
      <c r="F36" s="4" t="inlineStr">
        <is>
          <t>no LMS/SSO integration found</t>
        </is>
      </c>
      <c r="G36" s="4" t="inlineStr">
        <is>
          <t>no evidence found of LMS/SSO</t>
        </is>
      </c>
      <c r="H36" s="4" t="inlineStr">
        <is>
          <t>No evidence found of LMS or SSO</t>
        </is>
      </c>
      <c r="I36" s="4" t="inlineStr">
        <is>
          <t>Connects to other L&amp;D apps without separate logins; no LMS/SSO detail</t>
        </is>
      </c>
      <c r="J36" s="4" t="inlineStr">
        <is>
          <t>Corporate SSO and LMS integration listed for team plans</t>
        </is>
      </c>
      <c r="K36" s="4" t="inlineStr">
        <is>
          <t>DESIGN TARGET — not evidence; specified in founder's meta-prompt (Aug 2026)</t>
        </is>
      </c>
    </row>
    <row r="37">
      <c r="A37" s="4">
        <f>Rubric!A37</f>
        <v/>
      </c>
      <c r="B37" s="4">
        <f>Rubric!C37</f>
        <v/>
      </c>
      <c r="C37" s="4" t="inlineStr">
        <is>
          <t>Customised team training lists the AI course as a topic; no TA layer</t>
        </is>
      </c>
      <c r="D37" s="4" t="inlineStr">
        <is>
          <t>Custom capability builds via advisory; not AI-specific</t>
        </is>
      </c>
      <c r="E37" s="4" t="inlineStr">
        <is>
          <t>Onsite MasterClass custom training; not AI-specific</t>
        </is>
      </c>
      <c r="F37" s="4" t="inlineStr">
        <is>
          <t>in-company training offered; customization detail not public</t>
        </is>
      </c>
      <c r="G37" s="4" t="inlineStr">
        <is>
          <t>tracks built around each function's workflows per partner company</t>
        </is>
      </c>
      <c r="H37" s="4" t="inlineStr">
        <is>
          <t>Customized training built around team priorities</t>
        </is>
      </c>
      <c r="I37" s="4" t="inlineStr">
        <is>
          <t>Customizable TA-specific avatars plus learning-design support</t>
        </is>
      </c>
      <c r="J37" s="4" t="inlineStr">
        <is>
          <t>Custom learning paths and co-branded Havas badge</t>
        </is>
      </c>
      <c r="K37" s="4" t="inlineStr">
        <is>
          <t>DESIGN TARGET — not evidence; specified in founder's meta-prompt (Aug 2026)</t>
        </is>
      </c>
    </row>
    <row r="38">
      <c r="A38" s="4">
        <f>Rubric!A38</f>
        <v/>
      </c>
      <c r="B38" s="4">
        <f>Rubric!C38</f>
        <v/>
      </c>
      <c r="C38" s="4" t="inlineStr">
        <is>
          <t>Named pharma team-training clients (org-wide); none named for AI course</t>
        </is>
      </c>
      <c r="D38" s="4" t="inlineStr">
        <is>
          <t>Named team clients Gilead, Sanofi, Novartis, Baxter plus partner logos</t>
        </is>
      </c>
      <c r="E38" s="4" t="inlineStr">
        <is>
          <t>Claims 400+ member companies; no named AI training clients</t>
        </is>
      </c>
      <c r="F38" s="4" t="inlineStr">
        <is>
          <t>testimonials list attendee employers (Novartis, Ferring, Chiesi); no named clients</t>
        </is>
      </c>
      <c r="G38" s="4" t="inlineStr">
        <is>
          <t>named testimonials from Roche, Pfizer, Novo Nordisk, Takeda, Merck Japan</t>
        </is>
      </c>
      <c r="H38" s="4" t="inlineStr">
        <is>
          <t>Clients unnamed; only company size in testimonials</t>
        </is>
      </c>
      <c r="I38" s="4" t="inlineStr">
        <is>
          <t>No named pharma clients found</t>
        </is>
      </c>
      <c r="J38" s="4" t="inlineStr">
        <is>
          <t>J&amp;J logo shown; relationship and scope not described</t>
        </is>
      </c>
      <c r="K38" s="4" t="inlineStr">
        <is>
          <t>DESIGN TARGET — not evidence; specified in founder's meta-prompt (Aug 2026)</t>
        </is>
      </c>
    </row>
    <row r="39">
      <c r="A39" s="4">
        <f>Rubric!A39</f>
        <v/>
      </c>
      <c r="B39" s="4">
        <f>Rubric!C39</f>
        <v/>
      </c>
      <c r="C39" s="4" t="inlineStr">
        <is>
          <t>US Eastern hours; global audience, no US-specific regulatory framing</t>
        </is>
      </c>
      <c r="D39" s="4" t="inlineStr">
        <is>
          <t>US-based (NJ), FDA framing, self-paced; marketed globally</t>
        </is>
      </c>
      <c r="E39" s="4" t="inlineStr">
        <is>
          <t>US-registered; ET webinars; Americas meetings</t>
        </is>
      </c>
      <c r="F39" s="4" t="inlineStr">
        <is>
          <t>Brussels venue, CET hours, EU VAT framing; not US-serving</t>
        </is>
      </c>
      <c r="G39" s="4" t="inlineStr">
        <is>
          <t>UK-operated virtual delivery; no US time-zone or regulatory framing</t>
        </is>
      </c>
      <c r="H39" s="4" t="inlineStr">
        <is>
          <t>US-based; US-time sessions and DIA/Fierce US events</t>
        </is>
      </c>
      <c r="I39" s="4" t="inlineStr">
        <is>
          <t>Global firm; no US-specific delivery or regulatory framing</t>
        </is>
      </c>
      <c r="J39" s="4" t="inlineStr">
        <is>
          <t>US-based with ET live sessions; no US regulatory framing</t>
        </is>
      </c>
      <c r="K39" s="4" t="inlineStr">
        <is>
          <t>DESIGN TARGET — not evidence; specified in founder's meta-prompt (Aug 2026)</t>
        </is>
      </c>
    </row>
    <row r="40">
      <c r="A40" s="4">
        <f>Rubric!A40</f>
        <v/>
      </c>
      <c r="B40" s="4">
        <f>Rubric!C40</f>
        <v/>
      </c>
      <c r="C40" s="4" t="inlineStr">
        <is>
          <t>Standard catalogue course but runs sporadically; currently unscheduled</t>
        </is>
      </c>
      <c r="D40" s="4" t="inlineStr">
        <is>
          <t>Standard catalogue certification with fixed modules and pricing</t>
        </is>
      </c>
      <c r="E40" s="4" t="inlineStr">
        <is>
          <t>Standard eLearning catalogue incl. AI courses</t>
        </is>
      </c>
      <c r="F40" s="4" t="inlineStr">
        <is>
          <t>standard catalogue course with recurring scheduled dates</t>
        </is>
      </c>
      <c r="G40" s="4" t="inlineStr">
        <is>
          <t>standard masterclass and institute; partner places capped at five companies</t>
        </is>
      </c>
      <c r="H40" s="4" t="inlineStr">
        <is>
          <t>Checkout workshop product plus catalogue modules; much work customized</t>
        </is>
      </c>
      <c r="I40" s="4" t="inlineStr">
        <is>
          <t>Productized app inside iON AI, sold with change-management services</t>
        </is>
      </c>
      <c r="J40" s="4" t="inlineStr">
        <is>
          <t>Standard catalog with membership tiers</t>
        </is>
      </c>
      <c r="K40" s="4" t="inlineStr">
        <is>
          <t>DESIGN TARGET — not evidence; specified in founder's meta-prompt (Aug 2026)</t>
        </is>
      </c>
    </row>
    <row r="41">
      <c r="A41" s="4">
        <f>Rubric!A41</f>
        <v/>
      </c>
      <c r="B41" s="4">
        <f>Rubric!C41</f>
        <v/>
      </c>
      <c r="C41" s="4" t="inlineStr">
        <is>
          <t>Member community, annual conference, mentor program (org-wide)</t>
        </is>
      </c>
      <c r="D41" s="4" t="inlineStr">
        <is>
          <t>No alumni community beyond social media</t>
        </is>
      </c>
      <c r="E41" s="4" t="inlineStr">
        <is>
          <t>Chapters, 200+ volunteers, 18,000-member community (org-wide)</t>
        </is>
      </c>
      <c r="F41" s="4" t="inlineStr">
        <is>
          <t>networking breaks and dinner only; no alumni community</t>
        </is>
      </c>
      <c r="G41" s="4" t="inlineStr">
        <is>
          <t>CEO roundtables mentioned; no active community described</t>
        </is>
      </c>
      <c r="H41" s="4" t="inlineStr">
        <is>
          <t>Communities for aspiring, new MSLs and leaders; activity unknown</t>
        </is>
      </c>
      <c r="I41" s="4" t="inlineStr">
        <is>
          <t>No evidence found of a community</t>
        </is>
      </c>
      <c r="J41" s="4" t="inlineStr">
        <is>
          <t>Slack community in all tiers; activity not verified</t>
        </is>
      </c>
      <c r="K41" s="4" t="inlineStr">
        <is>
          <t>DESIGN TARGET — not evidence; specified in founder's meta-prompt (Aug 2026)</t>
        </is>
      </c>
    </row>
    <row r="42">
      <c r="A42" s="4">
        <f>Rubric!A42</f>
        <v/>
      </c>
      <c r="B42" s="4">
        <f>Rubric!C42</f>
        <v/>
      </c>
      <c r="C42" s="4" t="inlineStr">
        <is>
          <t>Owns MSL membership, newsletter, journal, annual conference; member counts not stated</t>
        </is>
      </c>
      <c r="D42" s="4" t="inlineStr">
        <is>
          <t>No membership or events audience; certified count not stated</t>
        </is>
      </c>
      <c r="E42" s="4" t="inlineStr">
        <is>
          <t>18,000+ medical affairs members (not MSL-only) plus annual meetings</t>
        </is>
      </c>
      <c r="F42" s="4" t="inlineStr">
        <is>
          <t>newsletter, LinkedIn, 1,000+ trainees a year; no MSL-specific audience</t>
        </is>
      </c>
      <c r="G42" s="4" t="inlineStr">
        <is>
          <t>newsletter and briefing; no MSL audience</t>
        </is>
      </c>
      <c r="H42" s="4" t="inlineStr">
        <is>
          <t>Newsletter, YouTube, LinkedIn audience; size not stated</t>
        </is>
      </c>
      <c r="I42" s="4" t="inlineStr">
        <is>
          <t>No evidence found of an owned MSL audience</t>
        </is>
      </c>
      <c r="J42" s="4" t="inlineStr">
        <is>
          <t>No MSL audience; general knowledge-worker audience</t>
        </is>
      </c>
      <c r="K42" s="4" t="inlineStr">
        <is>
          <t>DESIGN TARGET — not evidence; specified in founder's meta-prompt (Aug 2026)</t>
        </is>
      </c>
    </row>
    <row r="43">
      <c r="A43" s="4">
        <f>Rubric!A43</f>
        <v/>
      </c>
      <c r="B43" s="4">
        <f>Rubric!C43</f>
        <v/>
      </c>
      <c r="C43" s="4" t="inlineStr">
        <is>
          <t>Prices listed: $500 non-member, $450 member</t>
        </is>
      </c>
      <c r="D43" s="4" t="inlineStr">
        <is>
          <t>Public price: $2,399 or 3 x $839</t>
        </is>
      </c>
      <c r="E43" s="4" t="inlineStr">
        <is>
          <t>Membership prices public; AI course price not found</t>
        </is>
      </c>
      <c r="F43" s="4" t="inlineStr">
        <is>
          <t>full and early-bird fees listed per date</t>
        </is>
      </c>
      <c r="G43" s="4" t="inlineStr">
        <is>
          <t>no prices published; discovery call required</t>
        </is>
      </c>
      <c r="H43" s="4" t="inlineStr">
        <is>
          <t>No prices listed, including checkout page</t>
        </is>
      </c>
      <c r="I43" s="4" t="inlineStr">
        <is>
          <t>No public pricing found</t>
        </is>
      </c>
      <c r="J43" s="4" t="inlineStr">
        <is>
          <t>Individual and small-team prices listed</t>
        </is>
      </c>
      <c r="K43" s="4" t="inlineStr">
        <is>
          <t>DESIGN TARGET — not evidence; specified in founder's meta-prompt (Aug 2026)</t>
        </is>
      </c>
    </row>
    <row r="44">
      <c r="A44" s="4">
        <f>Rubric!A44</f>
        <v/>
      </c>
      <c r="B44" s="4">
        <f>Rubric!C44</f>
        <v/>
      </c>
      <c r="C44" s="4" t="inlineStr">
        <is>
          <t>Individuals register directly online</t>
        </is>
      </c>
      <c r="D44" s="4" t="inlineStr">
        <is>
          <t>Individuals buy directly online</t>
        </is>
      </c>
      <c r="E44" s="4" t="inlineStr">
        <is>
          <t>Individuals can buy $295 membership with eCademy access</t>
        </is>
      </c>
      <c r="F44" s="4" t="inlineStr">
        <is>
          <t>individuals can register and pay by card or transfer</t>
        </is>
      </c>
      <c r="G44" s="4" t="inlineStr">
        <is>
          <t>membership and on-demand course exist; individual eligibility unclear</t>
        </is>
      </c>
      <c r="H44" s="4" t="inlineStr">
        <is>
          <t>Individuals can register at checkout; price hidden</t>
        </is>
      </c>
      <c r="I44" s="4" t="inlineStr">
        <is>
          <t>Enterprise-only; no individual purchase</t>
        </is>
      </c>
      <c r="J44" s="4" t="inlineStr">
        <is>
          <t>Individuals can buy monthly plans billed annually</t>
        </is>
      </c>
      <c r="K44" s="4" t="inlineStr">
        <is>
          <t>DESIGN TARGET — not evidence; specified in founder's meta-prompt (Aug 2026)</t>
        </is>
      </c>
    </row>
    <row r="45">
      <c r="A45" s="4">
        <f>Rubric!A45</f>
        <v/>
      </c>
      <c r="B45" s="4">
        <f>Rubric!C45</f>
        <v/>
      </c>
      <c r="C45" s="4" t="inlineStr">
        <is>
          <t>About $112-125/hour for lecture session with no hands-on, credit or recording</t>
        </is>
      </c>
      <c r="D45" s="4" t="inlineStr">
        <is>
          <t>About $80/hour for 30 hours; AI only part of content</t>
        </is>
      </c>
      <c r="E45" s="4" t="inlineStr">
        <is>
          <t>Broad content for dues, little hands-on AI depth</t>
        </is>
      </c>
      <c r="F45" s="4" t="inlineStr">
        <is>
          <t>EUR 3,370 for about 13 live hours with hands-on workshops; high per hour</t>
        </is>
      </c>
      <c r="G45" s="4" t="inlineStr">
        <is>
          <t>no evidence found; price and hours not published</t>
        </is>
      </c>
      <c r="H45" s="4" t="inlineStr">
        <is>
          <t>Cannot assess value without price; short 60-minute format</t>
        </is>
      </c>
      <c r="I45" s="4" t="inlineStr">
        <is>
          <t>Cannot judge value; no pricing</t>
        </is>
      </c>
      <c r="J45" s="4" t="inlineStr">
        <is>
          <t>Low cost for 28 two-hour courses; generic, not domain-specific</t>
        </is>
      </c>
      <c r="K45" s="4" t="inlineStr">
        <is>
          <t>DESIGN TARGET — not evidence; specified in founder's meta-prompt (Aug 2026)</t>
        </is>
      </c>
    </row>
    <row r="46">
      <c r="A46" s="4">
        <f>Rubric!A46</f>
        <v/>
      </c>
      <c r="B46" s="4">
        <f>Rubric!C46</f>
        <v/>
      </c>
      <c r="C46" s="4" t="inlineStr">
        <is>
          <t>Free guest membership and reports; no AI preview</t>
        </is>
      </c>
      <c r="D46" s="4" t="inlineStr">
        <is>
          <t>Free course is telehealth, not AI</t>
        </is>
      </c>
      <c r="E46" s="4" t="inlineStr">
        <is>
          <t>Free primer and free AI podcast</t>
        </is>
      </c>
      <c r="F46" s="4" t="inlineStr">
        <is>
          <t>free webinars and articles; no course preview</t>
        </is>
      </c>
      <c r="G46" s="4" t="inlineStr">
        <is>
          <t>free AI tools guide (business email required) and free webinars</t>
        </is>
      </c>
      <c r="H46" s="4" t="inlineStr">
        <is>
          <t>Free AI blog guides and prompt downloads</t>
        </is>
      </c>
      <c r="I46" s="4" t="inlineStr">
        <is>
          <t>No free trial or public demo found</t>
        </is>
      </c>
      <c r="J46" s="4" t="inlineStr">
        <is>
          <t>Free Basic tier with lesson videos and certificates</t>
        </is>
      </c>
      <c r="K46" s="4" t="inlineStr">
        <is>
          <t>DESIGN TARGET — not evidence; specified in founder's meta-prompt (Aug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6" customWidth="1" min="2" max="2"/>
    <col width="6" customWidth="1" min="3" max="3"/>
    <col width="9" customWidth="1" min="4" max="4"/>
    <col width="11" customWidth="1" min="5" max="5"/>
    <col width="28" customWidth="1" min="6" max="6"/>
    <col width="8" customWidth="1" min="7" max="7"/>
    <col width="15" customWidth="1" min="8" max="8"/>
    <col width="11" customWidth="1" min="9" max="9"/>
    <col width="11" customWidth="1" min="10" max="10"/>
    <col width="12" customWidth="1" min="11" max="11"/>
  </cols>
  <sheetData>
    <row r="1">
      <c r="A1" s="1" t="inlineStr">
        <is>
          <t>Gap analysis — where the white space is</t>
        </is>
      </c>
    </row>
    <row r="2">
      <c r="A2" s="2" t="inlineStr">
        <is>
          <t>Best competitor excludes the design target. Category: Differentiator if best ≤ 1, Improve on best if best = 2, Parity if best = 3.</t>
        </is>
      </c>
    </row>
    <row r="4" ht="42" customHeight="1">
      <c r="A4" s="5" t="inlineStr">
        <is>
          <t>ID</t>
        </is>
      </c>
      <c r="B4" s="5" t="inlineStr">
        <is>
          <t>Criterion</t>
        </is>
      </c>
      <c r="C4" s="5" t="inlineStr">
        <is>
          <t>Gate</t>
        </is>
      </c>
      <c r="D4" s="5" t="inlineStr">
        <is>
          <t>Criterion weight</t>
        </is>
      </c>
      <c r="E4" s="5" t="inlineStr">
        <is>
          <t>Best competitor score</t>
        </is>
      </c>
      <c r="F4" s="5" t="inlineStr">
        <is>
          <t>Leaders (as scored)</t>
        </is>
      </c>
      <c r="G4" s="5" t="inlineStr">
        <is>
          <t>Gap to 3</t>
        </is>
      </c>
      <c r="H4" s="5" t="inlineStr">
        <is>
          <t>Category</t>
        </is>
      </c>
      <c r="I4" s="5" t="inlineStr">
        <is>
          <t>MSL AI Skills score</t>
        </is>
      </c>
      <c r="J4" s="5" t="inlineStr">
        <is>
          <t>MSL AI Skills vs best</t>
        </is>
      </c>
      <c r="K4" s="5" t="inlineStr">
        <is>
          <t>MSL AI Skills position</t>
        </is>
      </c>
    </row>
    <row r="5">
      <c r="A5" s="17">
        <f>Rubric!A5</f>
        <v/>
      </c>
      <c r="B5" s="4">
        <f>Rubric!C5</f>
        <v/>
      </c>
      <c r="C5" s="17">
        <f>Rubric!F5</f>
        <v/>
      </c>
      <c r="D5" s="17">
        <f>Rubric!E5</f>
        <v/>
      </c>
      <c r="E5" s="17">
        <f>MAX(Rubric!G5:N5)</f>
        <v/>
      </c>
      <c r="F5" s="4" t="inlineStr">
        <is>
          <t>MSL Society, ACMA, CELforPharma, MA Value / MSL Mastery</t>
        </is>
      </c>
      <c r="G5" s="17">
        <f>3-E5</f>
        <v/>
      </c>
      <c r="H5" s="17">
        <f>IF(E5&lt;=1,"Differentiator",IF(E5=2,"Improve on best","Parity"))</f>
        <v/>
      </c>
      <c r="I5" s="17">
        <f>Rubric!O5</f>
        <v/>
      </c>
      <c r="J5" s="17">
        <f>I5-E5</f>
        <v/>
      </c>
      <c r="K5" s="17">
        <f>IF(J5&gt;0,"leads",IF(J5=0,"Level","Behind"))</f>
        <v/>
      </c>
    </row>
    <row r="6">
      <c r="A6" s="17">
        <f>Rubric!A6</f>
        <v/>
      </c>
      <c r="B6" s="4">
        <f>Rubric!C6</f>
        <v/>
      </c>
      <c r="C6" s="17">
        <f>Rubric!F6</f>
        <v/>
      </c>
      <c r="D6" s="17">
        <f>Rubric!E6</f>
        <v/>
      </c>
      <c r="E6" s="17">
        <f>MAX(Rubric!G6:N6)</f>
        <v/>
      </c>
      <c r="F6" s="4" t="inlineStr">
        <is>
          <t>ACMA</t>
        </is>
      </c>
      <c r="G6" s="17">
        <f>3-E6</f>
        <v/>
      </c>
      <c r="H6" s="17">
        <f>IF(E6&lt;=1,"Differentiator",IF(E6=2,"Improve on best","Parity"))</f>
        <v/>
      </c>
      <c r="I6" s="17">
        <f>Rubric!O6</f>
        <v/>
      </c>
      <c r="J6" s="17">
        <f>I6-E6</f>
        <v/>
      </c>
      <c r="K6" s="17">
        <f>IF(J6&gt;0,"leads",IF(J6=0,"Level","Behind"))</f>
        <v/>
      </c>
    </row>
    <row r="7">
      <c r="A7" s="17">
        <f>Rubric!A7</f>
        <v/>
      </c>
      <c r="B7" s="4">
        <f>Rubric!C7</f>
        <v/>
      </c>
      <c r="C7" s="17">
        <f>Rubric!F7</f>
        <v/>
      </c>
      <c r="D7" s="17">
        <f>Rubric!E7</f>
        <v/>
      </c>
      <c r="E7" s="17">
        <f>MAX(Rubric!G7:N7)</f>
        <v/>
      </c>
      <c r="F7" s="4" t="inlineStr">
        <is>
          <t>Inizio MSL Interact</t>
        </is>
      </c>
      <c r="G7" s="17">
        <f>3-E7</f>
        <v/>
      </c>
      <c r="H7" s="17">
        <f>IF(E7&lt;=1,"Differentiator",IF(E7=2,"Improve on best","Parity"))</f>
        <v/>
      </c>
      <c r="I7" s="17">
        <f>Rubric!O7</f>
        <v/>
      </c>
      <c r="J7" s="17">
        <f>I7-E7</f>
        <v/>
      </c>
      <c r="K7" s="17">
        <f>IF(J7&gt;0,"leads",IF(J7=0,"Level","Behind"))</f>
        <v/>
      </c>
    </row>
    <row r="8">
      <c r="A8" s="17">
        <f>Rubric!A8</f>
        <v/>
      </c>
      <c r="B8" s="4">
        <f>Rubric!C8</f>
        <v/>
      </c>
      <c r="C8" s="17">
        <f>Rubric!F8</f>
        <v/>
      </c>
      <c r="D8" s="17">
        <f>Rubric!E8</f>
        <v/>
      </c>
      <c r="E8" s="17">
        <f>MAX(Rubric!G8:N8)</f>
        <v/>
      </c>
      <c r="F8" s="4" t="inlineStr">
        <is>
          <t>Section (horizontal)</t>
        </is>
      </c>
      <c r="G8" s="17">
        <f>3-E8</f>
        <v/>
      </c>
      <c r="H8" s="17">
        <f>IF(E8&lt;=1,"Differentiator",IF(E8=2,"Improve on best","Parity"))</f>
        <v/>
      </c>
      <c r="I8" s="17">
        <f>Rubric!O8</f>
        <v/>
      </c>
      <c r="J8" s="17">
        <f>I8-E8</f>
        <v/>
      </c>
      <c r="K8" s="17">
        <f>IF(J8&gt;0,"leads",IF(J8=0,"Level","Behind"))</f>
        <v/>
      </c>
    </row>
    <row r="9">
      <c r="A9" s="17">
        <f>Rubric!A9</f>
        <v/>
      </c>
      <c r="B9" s="4">
        <f>Rubric!C9</f>
        <v/>
      </c>
      <c r="C9" s="17">
        <f>Rubric!F9</f>
        <v/>
      </c>
      <c r="D9" s="17">
        <f>Rubric!E9</f>
        <v/>
      </c>
      <c r="E9" s="17">
        <f>MAX(Rubric!G9:N9)</f>
        <v/>
      </c>
      <c r="F9" s="4" t="inlineStr">
        <is>
          <t>MSL Society, ACMA, CELforPharma, MA Value / MSL Mastery, Section (horizontal)</t>
        </is>
      </c>
      <c r="G9" s="17">
        <f>3-E9</f>
        <v/>
      </c>
      <c r="H9" s="17">
        <f>IF(E9&lt;=1,"Differentiator",IF(E9=2,"Improve on best","Parity"))</f>
        <v/>
      </c>
      <c r="I9" s="17">
        <f>Rubric!O9</f>
        <v/>
      </c>
      <c r="J9" s="17">
        <f>I9-E9</f>
        <v/>
      </c>
      <c r="K9" s="17">
        <f>IF(J9&gt;0,"leads",IF(J9=0,"Level","Behind"))</f>
        <v/>
      </c>
    </row>
    <row r="10">
      <c r="A10" s="17">
        <f>Rubric!A10</f>
        <v/>
      </c>
      <c r="B10" s="4">
        <f>Rubric!C10</f>
        <v/>
      </c>
      <c r="C10" s="17">
        <f>Rubric!F10</f>
        <v/>
      </c>
      <c r="D10" s="17">
        <f>Rubric!E10</f>
        <v/>
      </c>
      <c r="E10" s="17">
        <f>MAX(Rubric!G10:N10)</f>
        <v/>
      </c>
      <c r="F10" s="4" t="inlineStr">
        <is>
          <t>MA Value / MSL Mastery, Section (horizontal)</t>
        </is>
      </c>
      <c r="G10" s="17">
        <f>3-E10</f>
        <v/>
      </c>
      <c r="H10" s="17">
        <f>IF(E10&lt;=1,"Differentiator",IF(E10=2,"Improve on best","Parity"))</f>
        <v/>
      </c>
      <c r="I10" s="17">
        <f>Rubric!O10</f>
        <v/>
      </c>
      <c r="J10" s="17">
        <f>I10-E10</f>
        <v/>
      </c>
      <c r="K10" s="17">
        <f>IF(J10&gt;0,"leads",IF(J10=0,"Level","Behind"))</f>
        <v/>
      </c>
    </row>
    <row r="11">
      <c r="A11" s="17">
        <f>Rubric!A11</f>
        <v/>
      </c>
      <c r="B11" s="4">
        <f>Rubric!C11</f>
        <v/>
      </c>
      <c r="C11" s="17">
        <f>Rubric!F11</f>
        <v/>
      </c>
      <c r="D11" s="17">
        <f>Rubric!E11</f>
        <v/>
      </c>
      <c r="E11" s="17">
        <f>MAX(Rubric!G11:N11)</f>
        <v/>
      </c>
      <c r="F11" s="4" t="inlineStr">
        <is>
          <t>CELforPharma</t>
        </is>
      </c>
      <c r="G11" s="17">
        <f>3-E11</f>
        <v/>
      </c>
      <c r="H11" s="17">
        <f>IF(E11&lt;=1,"Differentiator",IF(E11=2,"Improve on best","Parity"))</f>
        <v/>
      </c>
      <c r="I11" s="17">
        <f>Rubric!O11</f>
        <v/>
      </c>
      <c r="J11" s="17">
        <f>I11-E11</f>
        <v/>
      </c>
      <c r="K11" s="17">
        <f>IF(J11&gt;0,"leads",IF(J11=0,"Level","Behind"))</f>
        <v/>
      </c>
    </row>
    <row r="12">
      <c r="A12" s="17">
        <f>Rubric!A12</f>
        <v/>
      </c>
      <c r="B12" s="4">
        <f>Rubric!C12</f>
        <v/>
      </c>
      <c r="C12" s="17">
        <f>Rubric!F12</f>
        <v/>
      </c>
      <c r="D12" s="17">
        <f>Rubric!E12</f>
        <v/>
      </c>
      <c r="E12" s="17">
        <f>MAX(Rubric!G12:N12)</f>
        <v/>
      </c>
      <c r="F12" s="4" t="inlineStr">
        <is>
          <t>ACMA, MA Value / MSL Mastery, Section (horizontal)</t>
        </is>
      </c>
      <c r="G12" s="17">
        <f>3-E12</f>
        <v/>
      </c>
      <c r="H12" s="17">
        <f>IF(E12&lt;=1,"Differentiator",IF(E12=2,"Improve on best","Parity"))</f>
        <v/>
      </c>
      <c r="I12" s="17">
        <f>Rubric!O12</f>
        <v/>
      </c>
      <c r="J12" s="17">
        <f>I12-E12</f>
        <v/>
      </c>
      <c r="K12" s="17">
        <f>IF(J12&gt;0,"leads",IF(J12=0,"Level","Behind"))</f>
        <v/>
      </c>
    </row>
    <row r="13">
      <c r="A13" s="17">
        <f>Rubric!A13</f>
        <v/>
      </c>
      <c r="B13" s="4">
        <f>Rubric!C13</f>
        <v/>
      </c>
      <c r="C13" s="17">
        <f>Rubric!F13</f>
        <v/>
      </c>
      <c r="D13" s="17">
        <f>Rubric!E13</f>
        <v/>
      </c>
      <c r="E13" s="17">
        <f>MAX(Rubric!G13:N13)</f>
        <v/>
      </c>
      <c r="F13" s="4" t="inlineStr">
        <is>
          <t>ACMA, CELforPharma, MA Value / MSL Mastery, Section (horizontal)</t>
        </is>
      </c>
      <c r="G13" s="17">
        <f>3-E13</f>
        <v/>
      </c>
      <c r="H13" s="17">
        <f>IF(E13&lt;=1,"Differentiator",IF(E13=2,"Improve on best","Parity"))</f>
        <v/>
      </c>
      <c r="I13" s="17">
        <f>Rubric!O13</f>
        <v/>
      </c>
      <c r="J13" s="17">
        <f>I13-E13</f>
        <v/>
      </c>
      <c r="K13" s="17">
        <f>IF(J13&gt;0,"leads",IF(J13=0,"Level","Behind"))</f>
        <v/>
      </c>
    </row>
    <row r="14">
      <c r="A14" s="17">
        <f>Rubric!A14</f>
        <v/>
      </c>
      <c r="B14" s="4">
        <f>Rubric!C14</f>
        <v/>
      </c>
      <c r="C14" s="17">
        <f>Rubric!F14</f>
        <v/>
      </c>
      <c r="D14" s="17">
        <f>Rubric!E14</f>
        <v/>
      </c>
      <c r="E14" s="17">
        <f>MAX(Rubric!G14:N14)</f>
        <v/>
      </c>
      <c r="F14" s="4" t="inlineStr">
        <is>
          <t>MSL Society, ACMA, CELforPharma, Eularis, MA Value / MSL Mastery, Section (horizontal)</t>
        </is>
      </c>
      <c r="G14" s="17">
        <f>3-E14</f>
        <v/>
      </c>
      <c r="H14" s="17">
        <f>IF(E14&lt;=1,"Differentiator",IF(E14=2,"Improve on best","Parity"))</f>
        <v/>
      </c>
      <c r="I14" s="17">
        <f>Rubric!O14</f>
        <v/>
      </c>
      <c r="J14" s="17">
        <f>I14-E14</f>
        <v/>
      </c>
      <c r="K14" s="17">
        <f>IF(J14&gt;0,"leads",IF(J14=0,"Level","Behind"))</f>
        <v/>
      </c>
    </row>
    <row r="15">
      <c r="A15" s="17">
        <f>Rubric!A15</f>
        <v/>
      </c>
      <c r="B15" s="4">
        <f>Rubric!C15</f>
        <v/>
      </c>
      <c r="C15" s="17">
        <f>Rubric!F15</f>
        <v/>
      </c>
      <c r="D15" s="17">
        <f>Rubric!E15</f>
        <v/>
      </c>
      <c r="E15" s="17">
        <f>MAX(Rubric!G15:N15)</f>
        <v/>
      </c>
      <c r="F15" s="4" t="inlineStr">
        <is>
          <t>ACMA</t>
        </is>
      </c>
      <c r="G15" s="17">
        <f>3-E15</f>
        <v/>
      </c>
      <c r="H15" s="17">
        <f>IF(E15&lt;=1,"Differentiator",IF(E15=2,"Improve on best","Parity"))</f>
        <v/>
      </c>
      <c r="I15" s="17">
        <f>Rubric!O15</f>
        <v/>
      </c>
      <c r="J15" s="17">
        <f>I15-E15</f>
        <v/>
      </c>
      <c r="K15" s="17">
        <f>IF(J15&gt;0,"leads",IF(J15=0,"Level","Behind"))</f>
        <v/>
      </c>
    </row>
    <row r="16">
      <c r="A16" s="17">
        <f>Rubric!A16</f>
        <v/>
      </c>
      <c r="B16" s="4">
        <f>Rubric!C16</f>
        <v/>
      </c>
      <c r="C16" s="17">
        <f>Rubric!F16</f>
        <v/>
      </c>
      <c r="D16" s="17">
        <f>Rubric!E16</f>
        <v/>
      </c>
      <c r="E16" s="17">
        <f>MAX(Rubric!G16:N16)</f>
        <v/>
      </c>
      <c r="F16" s="4" t="inlineStr">
        <is>
          <t>ACMA</t>
        </is>
      </c>
      <c r="G16" s="17">
        <f>3-E16</f>
        <v/>
      </c>
      <c r="H16" s="17">
        <f>IF(E16&lt;=1,"Differentiator",IF(E16=2,"Improve on best","Parity"))</f>
        <v/>
      </c>
      <c r="I16" s="17">
        <f>Rubric!O16</f>
        <v/>
      </c>
      <c r="J16" s="17">
        <f>I16-E16</f>
        <v/>
      </c>
      <c r="K16" s="17">
        <f>IF(J16&gt;0,"leads",IF(J16=0,"Level","Behind"))</f>
        <v/>
      </c>
    </row>
    <row r="17">
      <c r="A17" s="17">
        <f>Rubric!A17</f>
        <v/>
      </c>
      <c r="B17" s="4">
        <f>Rubric!C17</f>
        <v/>
      </c>
      <c r="C17" s="17">
        <f>Rubric!F17</f>
        <v/>
      </c>
      <c r="D17" s="17">
        <f>Rubric!E17</f>
        <v/>
      </c>
      <c r="E17" s="17">
        <f>MAX(Rubric!G17:N17)</f>
        <v/>
      </c>
      <c r="F17" s="4" t="inlineStr">
        <is>
          <t>ACMA, MAPS</t>
        </is>
      </c>
      <c r="G17" s="17">
        <f>3-E17</f>
        <v/>
      </c>
      <c r="H17" s="17">
        <f>IF(E17&lt;=1,"Differentiator",IF(E17=2,"Improve on best","Parity"))</f>
        <v/>
      </c>
      <c r="I17" s="17">
        <f>Rubric!O17</f>
        <v/>
      </c>
      <c r="J17" s="17">
        <f>I17-E17</f>
        <v/>
      </c>
      <c r="K17" s="17">
        <f>IF(J17&gt;0,"leads",IF(J17=0,"Level","Behind"))</f>
        <v/>
      </c>
    </row>
    <row r="18">
      <c r="A18" s="17">
        <f>Rubric!A18</f>
        <v/>
      </c>
      <c r="B18" s="4">
        <f>Rubric!C18</f>
        <v/>
      </c>
      <c r="C18" s="17">
        <f>Rubric!F18</f>
        <v/>
      </c>
      <c r="D18" s="17">
        <f>Rubric!E18</f>
        <v/>
      </c>
      <c r="E18" s="17">
        <f>MAX(Rubric!G18:N18)</f>
        <v/>
      </c>
      <c r="F18" s="4" t="inlineStr">
        <is>
          <t>MSL Society, ACMA</t>
        </is>
      </c>
      <c r="G18" s="17">
        <f>3-E18</f>
        <v/>
      </c>
      <c r="H18" s="17">
        <f>IF(E18&lt;=1,"Differentiator",IF(E18=2,"Improve on best","Parity"))</f>
        <v/>
      </c>
      <c r="I18" s="17">
        <f>Rubric!O18</f>
        <v/>
      </c>
      <c r="J18" s="17">
        <f>I18-E18</f>
        <v/>
      </c>
      <c r="K18" s="17">
        <f>IF(J18&gt;0,"leads",IF(J18=0,"Level","Behind"))</f>
        <v/>
      </c>
    </row>
    <row r="19">
      <c r="A19" s="17">
        <f>Rubric!A19</f>
        <v/>
      </c>
      <c r="B19" s="4">
        <f>Rubric!C19</f>
        <v/>
      </c>
      <c r="C19" s="17">
        <f>Rubric!F19</f>
        <v/>
      </c>
      <c r="D19" s="17">
        <f>Rubric!E19</f>
        <v/>
      </c>
      <c r="E19" s="17">
        <f>MAX(Rubric!G19:N19)</f>
        <v/>
      </c>
      <c r="F19" s="4" t="inlineStr">
        <is>
          <t>Eularis</t>
        </is>
      </c>
      <c r="G19" s="17">
        <f>3-E19</f>
        <v/>
      </c>
      <c r="H19" s="17">
        <f>IF(E19&lt;=1,"Differentiator",IF(E19=2,"Improve on best","Parity"))</f>
        <v/>
      </c>
      <c r="I19" s="17">
        <f>Rubric!O19</f>
        <v/>
      </c>
      <c r="J19" s="17">
        <f>I19-E19</f>
        <v/>
      </c>
      <c r="K19" s="17">
        <f>IF(J19&gt;0,"leads",IF(J19=0,"Level","Behind"))</f>
        <v/>
      </c>
    </row>
    <row r="20">
      <c r="A20" s="17">
        <f>Rubric!A20</f>
        <v/>
      </c>
      <c r="B20" s="4">
        <f>Rubric!C20</f>
        <v/>
      </c>
      <c r="C20" s="17">
        <f>Rubric!F20</f>
        <v/>
      </c>
      <c r="D20" s="17">
        <f>Rubric!E20</f>
        <v/>
      </c>
      <c r="E20" s="17">
        <f>MAX(Rubric!G20:N20)</f>
        <v/>
      </c>
      <c r="F20" s="4" t="inlineStr">
        <is>
          <t>ACMA, MAPS, Eularis, MA Value / MSL Mastery, Section (horizontal)</t>
        </is>
      </c>
      <c r="G20" s="17">
        <f>3-E20</f>
        <v/>
      </c>
      <c r="H20" s="17">
        <f>IF(E20&lt;=1,"Differentiator",IF(E20=2,"Improve on best","Parity"))</f>
        <v/>
      </c>
      <c r="I20" s="17">
        <f>Rubric!O20</f>
        <v/>
      </c>
      <c r="J20" s="17">
        <f>I20-E20</f>
        <v/>
      </c>
      <c r="K20" s="17">
        <f>IF(J20&gt;0,"leads",IF(J20=0,"Level","Behind"))</f>
        <v/>
      </c>
    </row>
    <row r="21">
      <c r="A21" s="17">
        <f>Rubric!A21</f>
        <v/>
      </c>
      <c r="B21" s="4">
        <f>Rubric!C21</f>
        <v/>
      </c>
      <c r="C21" s="17">
        <f>Rubric!F21</f>
        <v/>
      </c>
      <c r="D21" s="17">
        <f>Rubric!E21</f>
        <v/>
      </c>
      <c r="E21" s="17">
        <f>MAX(Rubric!G21:N21)</f>
        <v/>
      </c>
      <c r="F21" s="4" t="inlineStr">
        <is>
          <t>MAPS</t>
        </is>
      </c>
      <c r="G21" s="17">
        <f>3-E21</f>
        <v/>
      </c>
      <c r="H21" s="17">
        <f>IF(E21&lt;=1,"Differentiator",IF(E21=2,"Improve on best","Parity"))</f>
        <v/>
      </c>
      <c r="I21" s="17">
        <f>Rubric!O21</f>
        <v/>
      </c>
      <c r="J21" s="17">
        <f>I21-E21</f>
        <v/>
      </c>
      <c r="K21" s="17">
        <f>IF(J21&gt;0,"leads",IF(J21=0,"Level","Behind"))</f>
        <v/>
      </c>
    </row>
    <row r="22">
      <c r="A22" s="17">
        <f>Rubric!A22</f>
        <v/>
      </c>
      <c r="B22" s="4">
        <f>Rubric!C22</f>
        <v/>
      </c>
      <c r="C22" s="17">
        <f>Rubric!F22</f>
        <v/>
      </c>
      <c r="D22" s="17">
        <f>Rubric!E22</f>
        <v/>
      </c>
      <c r="E22" s="17">
        <f>MAX(Rubric!G22:N22)</f>
        <v/>
      </c>
      <c r="F22" s="4" t="inlineStr">
        <is>
          <t>Section (horizontal)</t>
        </is>
      </c>
      <c r="G22" s="17">
        <f>3-E22</f>
        <v/>
      </c>
      <c r="H22" s="17">
        <f>IF(E22&lt;=1,"Differentiator",IF(E22=2,"Improve on best","Parity"))</f>
        <v/>
      </c>
      <c r="I22" s="17">
        <f>Rubric!O22</f>
        <v/>
      </c>
      <c r="J22" s="17">
        <f>I22-E22</f>
        <v/>
      </c>
      <c r="K22" s="17">
        <f>IF(J22&gt;0,"leads",IF(J22=0,"Level","Behind"))</f>
        <v/>
      </c>
    </row>
    <row r="23">
      <c r="A23" s="17">
        <f>Rubric!A23</f>
        <v/>
      </c>
      <c r="B23" s="4">
        <f>Rubric!C23</f>
        <v/>
      </c>
      <c r="C23" s="17">
        <f>Rubric!F23</f>
        <v/>
      </c>
      <c r="D23" s="17">
        <f>Rubric!E23</f>
        <v/>
      </c>
      <c r="E23" s="17">
        <f>MAX(Rubric!G23:N23)</f>
        <v/>
      </c>
      <c r="F23" s="4" t="inlineStr">
        <is>
          <t>Section (horizontal)</t>
        </is>
      </c>
      <c r="G23" s="17">
        <f>3-E23</f>
        <v/>
      </c>
      <c r="H23" s="17">
        <f>IF(E23&lt;=1,"Differentiator",IF(E23=2,"Improve on best","Parity"))</f>
        <v/>
      </c>
      <c r="I23" s="17">
        <f>Rubric!O23</f>
        <v/>
      </c>
      <c r="J23" s="17">
        <f>I23-E23</f>
        <v/>
      </c>
      <c r="K23" s="17">
        <f>IF(J23&gt;0,"leads",IF(J23=0,"Level","Behind"))</f>
        <v/>
      </c>
    </row>
    <row r="24">
      <c r="A24" s="17">
        <f>Rubric!A24</f>
        <v/>
      </c>
      <c r="B24" s="4">
        <f>Rubric!C24</f>
        <v/>
      </c>
      <c r="C24" s="17">
        <f>Rubric!F24</f>
        <v/>
      </c>
      <c r="D24" s="17">
        <f>Rubric!E24</f>
        <v/>
      </c>
      <c r="E24" s="17">
        <f>MAX(Rubric!G24:N24)</f>
        <v/>
      </c>
      <c r="F24" s="4" t="inlineStr">
        <is>
          <t>ACMA, Section (horizontal)</t>
        </is>
      </c>
      <c r="G24" s="17">
        <f>3-E24</f>
        <v/>
      </c>
      <c r="H24" s="17">
        <f>IF(E24&lt;=1,"Differentiator",IF(E24=2,"Improve on best","Parity"))</f>
        <v/>
      </c>
      <c r="I24" s="17">
        <f>Rubric!O24</f>
        <v/>
      </c>
      <c r="J24" s="17">
        <f>I24-E24</f>
        <v/>
      </c>
      <c r="K24" s="17">
        <f>IF(J24&gt;0,"leads",IF(J24=0,"Level","Behind"))</f>
        <v/>
      </c>
    </row>
    <row r="25">
      <c r="A25" s="17">
        <f>Rubric!A25</f>
        <v/>
      </c>
      <c r="B25" s="4">
        <f>Rubric!C25</f>
        <v/>
      </c>
      <c r="C25" s="17">
        <f>Rubric!F25</f>
        <v/>
      </c>
      <c r="D25" s="17">
        <f>Rubric!E25</f>
        <v/>
      </c>
      <c r="E25" s="17">
        <f>MAX(Rubric!G25:N25)</f>
        <v/>
      </c>
      <c r="F25" s="4" t="inlineStr">
        <is>
          <t>ACMA</t>
        </is>
      </c>
      <c r="G25" s="17">
        <f>3-E25</f>
        <v/>
      </c>
      <c r="H25" s="17">
        <f>IF(E25&lt;=1,"Differentiator",IF(E25=2,"Improve on best","Parity"))</f>
        <v/>
      </c>
      <c r="I25" s="17">
        <f>Rubric!O25</f>
        <v/>
      </c>
      <c r="J25" s="17">
        <f>I25-E25</f>
        <v/>
      </c>
      <c r="K25" s="17">
        <f>IF(J25&gt;0,"leads",IF(J25=0,"Level","Behind"))</f>
        <v/>
      </c>
    </row>
    <row r="26">
      <c r="A26" s="17">
        <f>Rubric!A26</f>
        <v/>
      </c>
      <c r="B26" s="4">
        <f>Rubric!C26</f>
        <v/>
      </c>
      <c r="C26" s="17">
        <f>Rubric!F26</f>
        <v/>
      </c>
      <c r="D26" s="17">
        <f>Rubric!E26</f>
        <v/>
      </c>
      <c r="E26" s="17">
        <f>MAX(Rubric!G26:N26)</f>
        <v/>
      </c>
      <c r="F26" s="4" t="inlineStr">
        <is>
          <t>ACMA</t>
        </is>
      </c>
      <c r="G26" s="17">
        <f>3-E26</f>
        <v/>
      </c>
      <c r="H26" s="17">
        <f>IF(E26&lt;=1,"Differentiator",IF(E26=2,"Improve on best","Parity"))</f>
        <v/>
      </c>
      <c r="I26" s="17">
        <f>Rubric!O26</f>
        <v/>
      </c>
      <c r="J26" s="17">
        <f>I26-E26</f>
        <v/>
      </c>
      <c r="K26" s="17">
        <f>IF(J26&gt;0,"leads",IF(J26=0,"Level","Behind"))</f>
        <v/>
      </c>
    </row>
    <row r="27">
      <c r="A27" s="17">
        <f>Rubric!A27</f>
        <v/>
      </c>
      <c r="B27" s="4">
        <f>Rubric!C27</f>
        <v/>
      </c>
      <c r="C27" s="17">
        <f>Rubric!F27</f>
        <v/>
      </c>
      <c r="D27" s="17">
        <f>Rubric!E27</f>
        <v/>
      </c>
      <c r="E27" s="17">
        <f>MAX(Rubric!G27:N27)</f>
        <v/>
      </c>
      <c r="F27" s="4" t="inlineStr">
        <is>
          <t>CELforPharma, Section (horizontal)</t>
        </is>
      </c>
      <c r="G27" s="17">
        <f>3-E27</f>
        <v/>
      </c>
      <c r="H27" s="17">
        <f>IF(E27&lt;=1,"Differentiator",IF(E27=2,"Improve on best","Parity"))</f>
        <v/>
      </c>
      <c r="I27" s="17">
        <f>Rubric!O27</f>
        <v/>
      </c>
      <c r="J27" s="17">
        <f>I27-E27</f>
        <v/>
      </c>
      <c r="K27" s="17">
        <f>IF(J27&gt;0,"leads",IF(J27=0,"Level","Behind"))</f>
        <v/>
      </c>
    </row>
    <row r="28">
      <c r="A28" s="17">
        <f>Rubric!A28</f>
        <v/>
      </c>
      <c r="B28" s="4">
        <f>Rubric!C28</f>
        <v/>
      </c>
      <c r="C28" s="17">
        <f>Rubric!F28</f>
        <v/>
      </c>
      <c r="D28" s="17">
        <f>Rubric!E28</f>
        <v/>
      </c>
      <c r="E28" s="17">
        <f>MAX(Rubric!G28:N28)</f>
        <v/>
      </c>
      <c r="F28" s="4" t="inlineStr">
        <is>
          <t>Section (horizontal)</t>
        </is>
      </c>
      <c r="G28" s="17">
        <f>3-E28</f>
        <v/>
      </c>
      <c r="H28" s="17">
        <f>IF(E28&lt;=1,"Differentiator",IF(E28=2,"Improve on best","Parity"))</f>
        <v/>
      </c>
      <c r="I28" s="17">
        <f>Rubric!O28</f>
        <v/>
      </c>
      <c r="J28" s="17">
        <f>I28-E28</f>
        <v/>
      </c>
      <c r="K28" s="17">
        <f>IF(J28&gt;0,"leads",IF(J28=0,"Level","Behind"))</f>
        <v/>
      </c>
    </row>
    <row r="29">
      <c r="A29" s="17">
        <f>Rubric!A29</f>
        <v/>
      </c>
      <c r="B29" s="4">
        <f>Rubric!C29</f>
        <v/>
      </c>
      <c r="C29" s="17">
        <f>Rubric!F29</f>
        <v/>
      </c>
      <c r="D29" s="17">
        <f>Rubric!E29</f>
        <v/>
      </c>
      <c r="E29" s="17">
        <f>MAX(Rubric!G29:N29)</f>
        <v/>
      </c>
      <c r="F29" s="4" t="inlineStr">
        <is>
          <t>Section (horizontal)</t>
        </is>
      </c>
      <c r="G29" s="17">
        <f>3-E29</f>
        <v/>
      </c>
      <c r="H29" s="17">
        <f>IF(E29&lt;=1,"Differentiator",IF(E29=2,"Improve on best","Parity"))</f>
        <v/>
      </c>
      <c r="I29" s="17">
        <f>Rubric!O29</f>
        <v/>
      </c>
      <c r="J29" s="17">
        <f>I29-E29</f>
        <v/>
      </c>
      <c r="K29" s="17">
        <f>IF(J29&gt;0,"leads",IF(J29=0,"Level","Behind"))</f>
        <v/>
      </c>
    </row>
    <row r="30">
      <c r="A30" s="17">
        <f>Rubric!A30</f>
        <v/>
      </c>
      <c r="B30" s="4">
        <f>Rubric!C30</f>
        <v/>
      </c>
      <c r="C30" s="17">
        <f>Rubric!F30</f>
        <v/>
      </c>
      <c r="D30" s="17">
        <f>Rubric!E30</f>
        <v/>
      </c>
      <c r="E30" s="17">
        <f>MAX(Rubric!G30:N30)</f>
        <v/>
      </c>
      <c r="F30" s="4" t="inlineStr">
        <is>
          <t>Inizio MSL Interact, Section (horizontal)</t>
        </is>
      </c>
      <c r="G30" s="17">
        <f>3-E30</f>
        <v/>
      </c>
      <c r="H30" s="17">
        <f>IF(E30&lt;=1,"Differentiator",IF(E30=2,"Improve on best","Parity"))</f>
        <v/>
      </c>
      <c r="I30" s="17">
        <f>Rubric!O30</f>
        <v/>
      </c>
      <c r="J30" s="17">
        <f>I30-E30</f>
        <v/>
      </c>
      <c r="K30" s="17">
        <f>IF(J30&gt;0,"leads",IF(J30=0,"Level","Behind"))</f>
        <v/>
      </c>
    </row>
    <row r="31">
      <c r="A31" s="17">
        <f>Rubric!A31</f>
        <v/>
      </c>
      <c r="B31" s="4">
        <f>Rubric!C31</f>
        <v/>
      </c>
      <c r="C31" s="17">
        <f>Rubric!F31</f>
        <v/>
      </c>
      <c r="D31" s="17">
        <f>Rubric!E31</f>
        <v/>
      </c>
      <c r="E31" s="17">
        <f>MAX(Rubric!G31:N31)</f>
        <v/>
      </c>
      <c r="F31" s="4" t="inlineStr">
        <is>
          <t>ACMA, MAPS, Eularis, Inizio MSL Interact, Section (horizontal)</t>
        </is>
      </c>
      <c r="G31" s="17">
        <f>3-E31</f>
        <v/>
      </c>
      <c r="H31" s="17">
        <f>IF(E31&lt;=1,"Differentiator",IF(E31=2,"Improve on best","Parity"))</f>
        <v/>
      </c>
      <c r="I31" s="17">
        <f>Rubric!O31</f>
        <v/>
      </c>
      <c r="J31" s="17">
        <f>I31-E31</f>
        <v/>
      </c>
      <c r="K31" s="17">
        <f>IF(J31&gt;0,"leads",IF(J31=0,"Level","Behind"))</f>
        <v/>
      </c>
    </row>
    <row r="32">
      <c r="A32" s="17">
        <f>Rubric!A32</f>
        <v/>
      </c>
      <c r="B32" s="4">
        <f>Rubric!C32</f>
        <v/>
      </c>
      <c r="C32" s="17">
        <f>Rubric!F32</f>
        <v/>
      </c>
      <c r="D32" s="17">
        <f>Rubric!E32</f>
        <v/>
      </c>
      <c r="E32" s="17">
        <f>MAX(Rubric!G32:N32)</f>
        <v/>
      </c>
      <c r="F32" s="4" t="inlineStr">
        <is>
          <t>MAPS, CELforPharma, MA Value / MSL Mastery</t>
        </is>
      </c>
      <c r="G32" s="17">
        <f>3-E32</f>
        <v/>
      </c>
      <c r="H32" s="17">
        <f>IF(E32&lt;=1,"Differentiator",IF(E32=2,"Improve on best","Parity"))</f>
        <v/>
      </c>
      <c r="I32" s="17">
        <f>Rubric!O32</f>
        <v/>
      </c>
      <c r="J32" s="17">
        <f>I32-E32</f>
        <v/>
      </c>
      <c r="K32" s="17">
        <f>IF(J32&gt;0,"leads",IF(J32=0,"Level","Behind"))</f>
        <v/>
      </c>
    </row>
    <row r="33">
      <c r="A33" s="17">
        <f>Rubric!A33</f>
        <v/>
      </c>
      <c r="B33" s="4">
        <f>Rubric!C33</f>
        <v/>
      </c>
      <c r="C33" s="17">
        <f>Rubric!F33</f>
        <v/>
      </c>
      <c r="D33" s="17">
        <f>Rubric!E33</f>
        <v/>
      </c>
      <c r="E33" s="17">
        <f>MAX(Rubric!G33:N33)</f>
        <v/>
      </c>
      <c r="F33" s="4" t="inlineStr">
        <is>
          <t>ACMA, CELforPharma, Section (horizontal)</t>
        </is>
      </c>
      <c r="G33" s="17">
        <f>3-E33</f>
        <v/>
      </c>
      <c r="H33" s="17">
        <f>IF(E33&lt;=1,"Differentiator",IF(E33=2,"Improve on best","Parity"))</f>
        <v/>
      </c>
      <c r="I33" s="17">
        <f>Rubric!O33</f>
        <v/>
      </c>
      <c r="J33" s="17">
        <f>I33-E33</f>
        <v/>
      </c>
      <c r="K33" s="17">
        <f>IF(J33&gt;0,"leads",IF(J33=0,"Level","Behind"))</f>
        <v/>
      </c>
    </row>
    <row r="34">
      <c r="A34" s="17">
        <f>Rubric!A34</f>
        <v/>
      </c>
      <c r="B34" s="4">
        <f>Rubric!C34</f>
        <v/>
      </c>
      <c r="C34" s="17">
        <f>Rubric!F34</f>
        <v/>
      </c>
      <c r="D34" s="17">
        <f>Rubric!E34</f>
        <v/>
      </c>
      <c r="E34" s="17">
        <f>MAX(Rubric!G34:N34)</f>
        <v/>
      </c>
      <c r="F34" s="4" t="inlineStr">
        <is>
          <t>MAPS, CELforPharma, Eularis, MA Value / MSL Mastery, Section (horizontal)</t>
        </is>
      </c>
      <c r="G34" s="17">
        <f>3-E34</f>
        <v/>
      </c>
      <c r="H34" s="17">
        <f>IF(E34&lt;=1,"Differentiator",IF(E34=2,"Improve on best","Parity"))</f>
        <v/>
      </c>
      <c r="I34" s="17">
        <f>Rubric!O34</f>
        <v/>
      </c>
      <c r="J34" s="17">
        <f>I34-E34</f>
        <v/>
      </c>
      <c r="K34" s="17">
        <f>IF(J34&gt;0,"leads",IF(J34=0,"Level","Behind"))</f>
        <v/>
      </c>
    </row>
    <row r="35">
      <c r="A35" s="17">
        <f>Rubric!A35</f>
        <v/>
      </c>
      <c r="B35" s="4">
        <f>Rubric!C35</f>
        <v/>
      </c>
      <c r="C35" s="17">
        <f>Rubric!F35</f>
        <v/>
      </c>
      <c r="D35" s="17">
        <f>Rubric!E35</f>
        <v/>
      </c>
      <c r="E35" s="17">
        <f>MAX(Rubric!G35:N35)</f>
        <v/>
      </c>
      <c r="F35" s="4" t="inlineStr">
        <is>
          <t>MAPS</t>
        </is>
      </c>
      <c r="G35" s="17">
        <f>3-E35</f>
        <v/>
      </c>
      <c r="H35" s="17">
        <f>IF(E35&lt;=1,"Differentiator",IF(E35=2,"Improve on best","Parity"))</f>
        <v/>
      </c>
      <c r="I35" s="17">
        <f>Rubric!O35</f>
        <v/>
      </c>
      <c r="J35" s="17">
        <f>I35-E35</f>
        <v/>
      </c>
      <c r="K35" s="17">
        <f>IF(J35&gt;0,"leads",IF(J35=0,"Level","Behind"))</f>
        <v/>
      </c>
    </row>
    <row r="36">
      <c r="A36" s="17">
        <f>Rubric!A36</f>
        <v/>
      </c>
      <c r="B36" s="4">
        <f>Rubric!C36</f>
        <v/>
      </c>
      <c r="C36" s="17">
        <f>Rubric!F36</f>
        <v/>
      </c>
      <c r="D36" s="17">
        <f>Rubric!E36</f>
        <v/>
      </c>
      <c r="E36" s="17">
        <f>MAX(Rubric!G36:N36)</f>
        <v/>
      </c>
      <c r="F36" s="4" t="inlineStr">
        <is>
          <t>Section (horizontal)</t>
        </is>
      </c>
      <c r="G36" s="17">
        <f>3-E36</f>
        <v/>
      </c>
      <c r="H36" s="17">
        <f>IF(E36&lt;=1,"Differentiator",IF(E36=2,"Improve on best","Parity"))</f>
        <v/>
      </c>
      <c r="I36" s="17">
        <f>Rubric!O36</f>
        <v/>
      </c>
      <c r="J36" s="17">
        <f>I36-E36</f>
        <v/>
      </c>
      <c r="K36" s="17">
        <f>IF(J36&gt;0,"leads",IF(J36=0,"Level","Behind"))</f>
        <v/>
      </c>
    </row>
    <row r="37">
      <c r="A37" s="17">
        <f>Rubric!A37</f>
        <v/>
      </c>
      <c r="B37" s="4">
        <f>Rubric!C37</f>
        <v/>
      </c>
      <c r="C37" s="17">
        <f>Rubric!F37</f>
        <v/>
      </c>
      <c r="D37" s="17">
        <f>Rubric!E37</f>
        <v/>
      </c>
      <c r="E37" s="17">
        <f>MAX(Rubric!G37:N37)</f>
        <v/>
      </c>
      <c r="F37" s="4" t="inlineStr">
        <is>
          <t>MA Value / MSL Mastery, Inizio MSL Interact, Section (horizontal)</t>
        </is>
      </c>
      <c r="G37" s="17">
        <f>3-E37</f>
        <v/>
      </c>
      <c r="H37" s="17">
        <f>IF(E37&lt;=1,"Differentiator",IF(E37=2,"Improve on best","Parity"))</f>
        <v/>
      </c>
      <c r="I37" s="17">
        <f>Rubric!O37</f>
        <v/>
      </c>
      <c r="J37" s="17">
        <f>I37-E37</f>
        <v/>
      </c>
      <c r="K37" s="17">
        <f>IF(J37&gt;0,"leads",IF(J37=0,"Level","Behind"))</f>
        <v/>
      </c>
    </row>
    <row r="38">
      <c r="A38" s="17">
        <f>Rubric!A38</f>
        <v/>
      </c>
      <c r="B38" s="4">
        <f>Rubric!C38</f>
        <v/>
      </c>
      <c r="C38" s="17">
        <f>Rubric!F38</f>
        <v/>
      </c>
      <c r="D38" s="17">
        <f>Rubric!E38</f>
        <v/>
      </c>
      <c r="E38" s="17">
        <f>MAX(Rubric!G38:N38)</f>
        <v/>
      </c>
      <c r="F38" s="4" t="inlineStr">
        <is>
          <t>ACMA</t>
        </is>
      </c>
      <c r="G38" s="17">
        <f>3-E38</f>
        <v/>
      </c>
      <c r="H38" s="17">
        <f>IF(E38&lt;=1,"Differentiator",IF(E38=2,"Improve on best","Parity"))</f>
        <v/>
      </c>
      <c r="I38" s="17">
        <f>Rubric!O38</f>
        <v/>
      </c>
      <c r="J38" s="17">
        <f>I38-E38</f>
        <v/>
      </c>
      <c r="K38" s="17">
        <f>IF(J38&gt;0,"leads",IF(J38=0,"Level","Behind"))</f>
        <v/>
      </c>
    </row>
    <row r="39">
      <c r="A39" s="17">
        <f>Rubric!A39</f>
        <v/>
      </c>
      <c r="B39" s="4">
        <f>Rubric!C39</f>
        <v/>
      </c>
      <c r="C39" s="17">
        <f>Rubric!F39</f>
        <v/>
      </c>
      <c r="D39" s="17">
        <f>Rubric!E39</f>
        <v/>
      </c>
      <c r="E39" s="17">
        <f>MAX(Rubric!G39:N39)</f>
        <v/>
      </c>
      <c r="F39" s="4" t="inlineStr">
        <is>
          <t>MAPS</t>
        </is>
      </c>
      <c r="G39" s="17">
        <f>3-E39</f>
        <v/>
      </c>
      <c r="H39" s="17">
        <f>IF(E39&lt;=1,"Differentiator",IF(E39=2,"Improve on best","Parity"))</f>
        <v/>
      </c>
      <c r="I39" s="17">
        <f>Rubric!O39</f>
        <v/>
      </c>
      <c r="J39" s="17">
        <f>I39-E39</f>
        <v/>
      </c>
      <c r="K39" s="17">
        <f>IF(J39&gt;0,"leads",IF(J39=0,"Level","Behind"))</f>
        <v/>
      </c>
    </row>
    <row r="40">
      <c r="A40" s="17">
        <f>Rubric!A40</f>
        <v/>
      </c>
      <c r="B40" s="4">
        <f>Rubric!C40</f>
        <v/>
      </c>
      <c r="C40" s="17">
        <f>Rubric!F40</f>
        <v/>
      </c>
      <c r="D40" s="17">
        <f>Rubric!E40</f>
        <v/>
      </c>
      <c r="E40" s="17">
        <f>MAX(Rubric!G40:N40)</f>
        <v/>
      </c>
      <c r="F40" s="4" t="inlineStr">
        <is>
          <t>ACMA, MAPS, CELforPharma, Section (horizontal)</t>
        </is>
      </c>
      <c r="G40" s="17">
        <f>3-E40</f>
        <v/>
      </c>
      <c r="H40" s="17">
        <f>IF(E40&lt;=1,"Differentiator",IF(E40=2,"Improve on best","Parity"))</f>
        <v/>
      </c>
      <c r="I40" s="17">
        <f>Rubric!O40</f>
        <v/>
      </c>
      <c r="J40" s="17">
        <f>I40-E40</f>
        <v/>
      </c>
      <c r="K40" s="17">
        <f>IF(J40&gt;0,"leads",IF(J40=0,"Level","Behind"))</f>
        <v/>
      </c>
    </row>
    <row r="41">
      <c r="A41" s="17">
        <f>Rubric!A41</f>
        <v/>
      </c>
      <c r="B41" s="4">
        <f>Rubric!C41</f>
        <v/>
      </c>
      <c r="C41" s="17">
        <f>Rubric!F41</f>
        <v/>
      </c>
      <c r="D41" s="17">
        <f>Rubric!E41</f>
        <v/>
      </c>
      <c r="E41" s="17">
        <f>MAX(Rubric!G41:N41)</f>
        <v/>
      </c>
      <c r="F41" s="4" t="inlineStr">
        <is>
          <t>MAPS</t>
        </is>
      </c>
      <c r="G41" s="17">
        <f>3-E41</f>
        <v/>
      </c>
      <c r="H41" s="17">
        <f>IF(E41&lt;=1,"Differentiator",IF(E41=2,"Improve on best","Parity"))</f>
        <v/>
      </c>
      <c r="I41" s="17">
        <f>Rubric!O41</f>
        <v/>
      </c>
      <c r="J41" s="17">
        <f>I41-E41</f>
        <v/>
      </c>
      <c r="K41" s="17">
        <f>IF(J41&gt;0,"leads",IF(J41=0,"Level","Behind"))</f>
        <v/>
      </c>
    </row>
    <row r="42">
      <c r="A42" s="17">
        <f>Rubric!A42</f>
        <v/>
      </c>
      <c r="B42" s="4">
        <f>Rubric!C42</f>
        <v/>
      </c>
      <c r="C42" s="17">
        <f>Rubric!F42</f>
        <v/>
      </c>
      <c r="D42" s="17">
        <f>Rubric!E42</f>
        <v/>
      </c>
      <c r="E42" s="17">
        <f>MAX(Rubric!G42:N42)</f>
        <v/>
      </c>
      <c r="F42" s="4" t="inlineStr">
        <is>
          <t>MAPS</t>
        </is>
      </c>
      <c r="G42" s="17">
        <f>3-E42</f>
        <v/>
      </c>
      <c r="H42" s="17">
        <f>IF(E42&lt;=1,"Differentiator",IF(E42=2,"Improve on best","Parity"))</f>
        <v/>
      </c>
      <c r="I42" s="17">
        <f>Rubric!O42</f>
        <v/>
      </c>
      <c r="J42" s="17">
        <f>I42-E42</f>
        <v/>
      </c>
      <c r="K42" s="17">
        <f>IF(J42&gt;0,"leads",IF(J42=0,"Level","Behind"))</f>
        <v/>
      </c>
    </row>
    <row r="43">
      <c r="A43" s="17">
        <f>Rubric!A43</f>
        <v/>
      </c>
      <c r="B43" s="4">
        <f>Rubric!C43</f>
        <v/>
      </c>
      <c r="C43" s="17">
        <f>Rubric!F43</f>
        <v/>
      </c>
      <c r="D43" s="17">
        <f>Rubric!E43</f>
        <v/>
      </c>
      <c r="E43" s="17">
        <f>MAX(Rubric!G43:N43)</f>
        <v/>
      </c>
      <c r="F43" s="4" t="inlineStr">
        <is>
          <t>MSL Society, ACMA, CELforPharma, Section (horizontal)</t>
        </is>
      </c>
      <c r="G43" s="17">
        <f>3-E43</f>
        <v/>
      </c>
      <c r="H43" s="17">
        <f>IF(E43&lt;=1,"Differentiator",IF(E43=2,"Improve on best","Parity"))</f>
        <v/>
      </c>
      <c r="I43" s="17">
        <f>Rubric!O43</f>
        <v/>
      </c>
      <c r="J43" s="17">
        <f>I43-E43</f>
        <v/>
      </c>
      <c r="K43" s="17">
        <f>IF(J43&gt;0,"leads",IF(J43=0,"Level","Behind"))</f>
        <v/>
      </c>
    </row>
    <row r="44">
      <c r="A44" s="17">
        <f>Rubric!A44</f>
        <v/>
      </c>
      <c r="B44" s="4">
        <f>Rubric!C44</f>
        <v/>
      </c>
      <c r="C44" s="17">
        <f>Rubric!F44</f>
        <v/>
      </c>
      <c r="D44" s="17">
        <f>Rubric!E44</f>
        <v/>
      </c>
      <c r="E44" s="17">
        <f>MAX(Rubric!G44:N44)</f>
        <v/>
      </c>
      <c r="F44" s="4" t="inlineStr">
        <is>
          <t>MSL Society, ACMA, MAPS, CELforPharma, Section (horizontal)</t>
        </is>
      </c>
      <c r="G44" s="17">
        <f>3-E44</f>
        <v/>
      </c>
      <c r="H44" s="17">
        <f>IF(E44&lt;=1,"Differentiator",IF(E44=2,"Improve on best","Parity"))</f>
        <v/>
      </c>
      <c r="I44" s="17">
        <f>Rubric!O44</f>
        <v/>
      </c>
      <c r="J44" s="17">
        <f>I44-E44</f>
        <v/>
      </c>
      <c r="K44" s="17">
        <f>IF(J44&gt;0,"leads",IF(J44=0,"Level","Behind"))</f>
        <v/>
      </c>
    </row>
    <row r="45">
      <c r="A45" s="17">
        <f>Rubric!A45</f>
        <v/>
      </c>
      <c r="B45" s="4">
        <f>Rubric!C45</f>
        <v/>
      </c>
      <c r="C45" s="17">
        <f>Rubric!F45</f>
        <v/>
      </c>
      <c r="D45" s="17">
        <f>Rubric!E45</f>
        <v/>
      </c>
      <c r="E45" s="17">
        <f>MAX(Rubric!G45:N45)</f>
        <v/>
      </c>
      <c r="F45" s="4" t="inlineStr">
        <is>
          <t>ACMA, CELforPharma, Section (horizontal)</t>
        </is>
      </c>
      <c r="G45" s="17">
        <f>3-E45</f>
        <v/>
      </c>
      <c r="H45" s="17">
        <f>IF(E45&lt;=1,"Differentiator",IF(E45=2,"Improve on best","Parity"))</f>
        <v/>
      </c>
      <c r="I45" s="17">
        <f>Rubric!O45</f>
        <v/>
      </c>
      <c r="J45" s="17">
        <f>I45-E45</f>
        <v/>
      </c>
      <c r="K45" s="17">
        <f>IF(J45&gt;0,"leads",IF(J45=0,"Level","Behind"))</f>
        <v/>
      </c>
    </row>
    <row r="46">
      <c r="A46" s="17">
        <f>Rubric!A46</f>
        <v/>
      </c>
      <c r="B46" s="4">
        <f>Rubric!C46</f>
        <v/>
      </c>
      <c r="C46" s="17">
        <f>Rubric!F46</f>
        <v/>
      </c>
      <c r="D46" s="17">
        <f>Rubric!E46</f>
        <v/>
      </c>
      <c r="E46" s="17">
        <f>MAX(Rubric!G46:N46)</f>
        <v/>
      </c>
      <c r="F46" s="4" t="inlineStr">
        <is>
          <t>Section (horizontal)</t>
        </is>
      </c>
      <c r="G46" s="17">
        <f>3-E46</f>
        <v/>
      </c>
      <c r="H46" s="17">
        <f>IF(E46&lt;=1,"Differentiator",IF(E46=2,"Improve on best","Parity"))</f>
        <v/>
      </c>
      <c r="I46" s="17">
        <f>Rubric!O46</f>
        <v/>
      </c>
      <c r="J46" s="17">
        <f>I46-E46</f>
        <v/>
      </c>
      <c r="K46" s="17">
        <f>IF(J46&gt;0,"leads",IF(J46=0,"Level","Behind"))</f>
        <v/>
      </c>
    </row>
    <row r="48">
      <c r="A48" s="8" t="inlineStr">
        <is>
          <t>Differentiator</t>
        </is>
      </c>
      <c r="B48" s="10">
        <f>COUNTIF($H$5:$H$46,A48)</f>
        <v/>
      </c>
      <c r="D48" s="8" t="inlineStr">
        <is>
          <t>leads</t>
        </is>
      </c>
      <c r="E48" s="10">
        <f>COUNTIF($K$5:$K$46,D48)</f>
        <v/>
      </c>
    </row>
    <row r="49">
      <c r="A49" s="8" t="inlineStr">
        <is>
          <t>Improve on best</t>
        </is>
      </c>
      <c r="B49" s="10">
        <f>COUNTIF($H$5:$H$46,A49)</f>
        <v/>
      </c>
      <c r="D49" s="8" t="inlineStr">
        <is>
          <t>Level</t>
        </is>
      </c>
      <c r="E49" s="10">
        <f>COUNTIF($K$5:$K$46,D49)</f>
        <v/>
      </c>
    </row>
    <row r="50">
      <c r="A50" s="8" t="inlineStr">
        <is>
          <t>Parity</t>
        </is>
      </c>
      <c r="B50" s="10">
        <f>COUNTIF($H$5:$H$46,A50)</f>
        <v/>
      </c>
      <c r="D50" s="8" t="inlineStr">
        <is>
          <t>Behind</t>
        </is>
      </c>
      <c r="E50" s="10">
        <f>COUNTIF($K$5:$K$46,D50)</f>
        <v/>
      </c>
    </row>
    <row r="53">
      <c r="A53" s="5" t="inlineStr">
        <is>
          <t>ID</t>
        </is>
      </c>
      <c r="B53" s="5" t="inlineStr">
        <is>
          <t>Roadmap note — what MSL AI Skills needs to earn this score</t>
        </is>
      </c>
      <c r="C53" s="18" t="n"/>
      <c r="D53" s="18" t="n"/>
      <c r="E53" s="18" t="n"/>
      <c r="F53" s="18" t="n"/>
      <c r="G53" s="18" t="n"/>
      <c r="H53" s="19" t="n"/>
    </row>
    <row r="54">
      <c r="A54" s="17" t="inlineStr">
        <is>
          <t>D1.1</t>
        </is>
      </c>
      <c r="B54" s="4" t="inlineStr">
        <is>
          <t>Core of the concept; build every module on a named MSL task</t>
        </is>
      </c>
      <c r="C54" s="18" t="n"/>
      <c r="D54" s="18" t="n"/>
      <c r="E54" s="18" t="n"/>
      <c r="F54" s="18" t="n"/>
      <c r="G54" s="18" t="n"/>
      <c r="H54" s="19" t="n"/>
    </row>
    <row r="55">
      <c r="A55" s="17" t="inlineStr">
        <is>
          <t>D1.2</t>
        </is>
      </c>
      <c r="B55" s="4" t="inlineStr">
        <is>
          <t>Publish the competency/JD map; needs licensed framework or own framework</t>
        </is>
      </c>
      <c r="C55" s="18" t="n"/>
      <c r="D55" s="18" t="n"/>
      <c r="E55" s="18" t="n"/>
      <c r="F55" s="18" t="n"/>
      <c r="G55" s="18" t="n"/>
      <c r="H55" s="19" t="n"/>
    </row>
    <row r="56">
      <c r="A56" s="17" t="inlineStr">
        <is>
          <t>D1.3</t>
        </is>
      </c>
      <c r="B56" s="4" t="inlineStr">
        <is>
          <t>Rotate examples across oncology, immunology, rare, cardiometabolic, vaccines, CNS</t>
        </is>
      </c>
      <c r="C56" s="18" t="n"/>
      <c r="D56" s="18" t="n"/>
      <c r="E56" s="18" t="n"/>
      <c r="F56" s="18" t="n"/>
      <c r="G56" s="18" t="n"/>
      <c r="H56" s="19" t="n"/>
    </row>
    <row r="57">
      <c r="A57" s="17" t="inlineStr">
        <is>
          <t>D1.4</t>
        </is>
      </c>
      <c r="B57" s="4" t="inlineStr">
        <is>
          <t>Foundations / Accelerator / Builder tracks</t>
        </is>
      </c>
      <c r="C57" s="18" t="n"/>
      <c r="D57" s="18" t="n"/>
      <c r="E57" s="18" t="n"/>
      <c r="F57" s="18" t="n"/>
      <c r="G57" s="18" t="n"/>
      <c r="H57" s="19" t="n"/>
    </row>
    <row r="58">
      <c r="A58" s="17" t="inlineStr">
        <is>
          <t>D2.1</t>
        </is>
      </c>
      <c r="B58" s="4" t="inlineStr">
        <is>
          <t>Build first; prompt cards and graded exercises</t>
        </is>
      </c>
      <c r="C58" s="18" t="n"/>
      <c r="D58" s="18" t="n"/>
      <c r="E58" s="18" t="n"/>
      <c r="F58" s="18" t="n"/>
      <c r="G58" s="18" t="n"/>
      <c r="H58" s="19" t="n"/>
    </row>
    <row r="59">
      <c r="A59" s="17" t="inlineStr">
        <is>
          <t>D2.2</t>
        </is>
      </c>
      <c r="B59" s="4" t="inlineStr">
        <is>
          <t>Needs sandbox accounts that mirror enterprise tools</t>
        </is>
      </c>
      <c r="C59" s="18" t="n"/>
      <c r="D59" s="18" t="n"/>
      <c r="E59" s="18" t="n"/>
      <c r="F59" s="18" t="n"/>
      <c r="G59" s="18" t="n"/>
      <c r="H59" s="19" t="n"/>
    </row>
    <row r="60">
      <c r="A60" s="17" t="inlineStr">
        <is>
          <t>D2.3</t>
        </is>
      </c>
      <c r="B60" s="4" t="inlineStr">
        <is>
          <t>Sandboxed builds; clear prototype-vs-production line</t>
        </is>
      </c>
      <c r="C60" s="18" t="n"/>
      <c r="D60" s="18" t="n"/>
      <c r="E60" s="18" t="n"/>
      <c r="F60" s="18" t="n"/>
      <c r="G60" s="18" t="n"/>
      <c r="H60" s="19" t="n"/>
    </row>
    <row r="61">
      <c r="A61" s="17" t="inlineStr">
        <is>
          <t>D2.4</t>
        </is>
      </c>
      <c r="B61" s="4" t="inlineStr">
        <is>
          <t>Agent module with evaluation checklist and human checkpoints</t>
        </is>
      </c>
      <c r="C61" s="18" t="n"/>
      <c r="D61" s="18" t="n"/>
      <c r="E61" s="18" t="n"/>
      <c r="F61" s="18" t="n"/>
      <c r="G61" s="18" t="n"/>
      <c r="H61" s="19" t="n"/>
    </row>
    <row r="62">
      <c r="A62" s="17" t="inlineStr">
        <is>
          <t>D2.5</t>
        </is>
      </c>
      <c r="B62" s="4" t="inlineStr">
        <is>
          <t>Meeting-summary and congress-digest automations with review step</t>
        </is>
      </c>
      <c r="C62" s="18" t="n"/>
      <c r="D62" s="18" t="n"/>
      <c r="E62" s="18" t="n"/>
      <c r="F62" s="18" t="n"/>
      <c r="G62" s="18" t="n"/>
      <c r="H62" s="19" t="n"/>
    </row>
    <row r="63">
      <c r="A63" s="17" t="inlineStr">
        <is>
          <t>D2.6</t>
        </is>
      </c>
      <c r="B63" s="4" t="inlineStr">
        <is>
          <t>10–20 minute build at the end of every module</t>
        </is>
      </c>
      <c r="C63" s="18" t="n"/>
      <c r="D63" s="18" t="n"/>
      <c r="E63" s="18" t="n"/>
      <c r="F63" s="18" t="n"/>
      <c r="G63" s="18" t="n"/>
      <c r="H63" s="19" t="n"/>
    </row>
    <row r="64">
      <c r="A64" s="17" t="inlineStr">
        <is>
          <t>D3.1</t>
        </is>
      </c>
      <c r="B64" s="4" t="inlineStr">
        <is>
          <t>Needs medical-affairs compliance reviewer sign-off</t>
        </is>
      </c>
      <c r="C64" s="18" t="n"/>
      <c r="D64" s="18" t="n"/>
      <c r="E64" s="18" t="n"/>
      <c r="F64" s="18" t="n"/>
      <c r="G64" s="18" t="n"/>
      <c r="H64" s="19" t="n"/>
    </row>
    <row r="65">
      <c r="A65" s="17" t="inlineStr">
        <is>
          <t>D3.2</t>
        </is>
      </c>
      <c r="B65" s="4" t="inlineStr">
        <is>
          <t>Data-classification lesson and do/don't cards</t>
        </is>
      </c>
      <c r="C65" s="18" t="n"/>
      <c r="D65" s="18" t="n"/>
      <c r="E65" s="18" t="n"/>
      <c r="F65" s="18" t="n"/>
      <c r="G65" s="18" t="n"/>
      <c r="H65" s="19" t="n"/>
    </row>
    <row r="66">
      <c r="A66" s="17" t="inlineStr">
        <is>
          <t>D3.3</t>
        </is>
      </c>
      <c r="B66" s="4" t="inlineStr">
        <is>
          <t>AE-recognition exercise with human reporting path</t>
        </is>
      </c>
      <c r="C66" s="18" t="n"/>
      <c r="D66" s="18" t="n"/>
      <c r="E66" s="18" t="n"/>
      <c r="F66" s="18" t="n"/>
      <c r="G66" s="18" t="n"/>
      <c r="H66" s="19" t="n"/>
    </row>
    <row r="67">
      <c r="A67" s="17" t="inlineStr">
        <is>
          <t>D3.4</t>
        </is>
      </c>
      <c r="B67" s="4" t="inlineStr">
        <is>
          <t>Built into every build step</t>
        </is>
      </c>
      <c r="C67" s="18" t="n"/>
      <c r="D67" s="18" t="n"/>
      <c r="E67" s="18" t="n"/>
      <c r="F67" s="18" t="n"/>
      <c r="G67" s="18" t="n"/>
      <c r="H67" s="19" t="n"/>
    </row>
    <row r="68">
      <c r="A68" s="17" t="inlineStr">
        <is>
          <t>D3.5</t>
        </is>
      </c>
      <c r="B68" s="4" t="inlineStr">
        <is>
          <t>Lesson plus checklist for talking to IT</t>
        </is>
      </c>
      <c r="C68" s="18" t="n"/>
      <c r="D68" s="18" t="n"/>
      <c r="E68" s="18" t="n"/>
      <c r="F68" s="18" t="n"/>
      <c r="G68" s="18" t="n"/>
      <c r="H68" s="19" t="n"/>
    </row>
    <row r="69">
      <c r="A69" s="17" t="inlineStr">
        <is>
          <t>D4.1</t>
        </is>
      </c>
      <c r="B69" s="4" t="inlineStr">
        <is>
          <t>Design constraint from day one</t>
        </is>
      </c>
      <c r="C69" s="18" t="n"/>
      <c r="D69" s="18" t="n"/>
      <c r="E69" s="18" t="n"/>
      <c r="F69" s="18" t="n"/>
      <c r="G69" s="18" t="n"/>
      <c r="H69" s="19" t="n"/>
    </row>
    <row r="70">
      <c r="A70" s="17" t="inlineStr">
        <is>
          <t>D4.2</t>
        </is>
      </c>
      <c r="B70" s="4" t="inlineStr">
        <is>
          <t>Requires LMS or PWA choice</t>
        </is>
      </c>
      <c r="C70" s="18" t="n"/>
      <c r="D70" s="18" t="n"/>
      <c r="E70" s="18" t="n"/>
      <c r="F70" s="18" t="n"/>
      <c r="G70" s="18" t="n"/>
      <c r="H70" s="19" t="n"/>
    </row>
    <row r="71">
      <c r="A71" s="17" t="inlineStr">
        <is>
          <t>D4.3</t>
        </is>
      </c>
      <c r="B71" s="4" t="inlineStr">
        <is>
          <t>Library is also a moat</t>
        </is>
      </c>
      <c r="C71" s="18" t="n"/>
      <c r="D71" s="18" t="n"/>
      <c r="E71" s="18" t="n"/>
      <c r="F71" s="18" t="n"/>
      <c r="G71" s="18" t="n"/>
      <c r="H71" s="19" t="n"/>
    </row>
    <row r="72">
      <c r="A72" s="17" t="inlineStr">
        <is>
          <t>D4.4</t>
        </is>
      </c>
      <c r="B72" s="4" t="inlineStr">
        <is>
          <t>Needs instructor capacity</t>
        </is>
      </c>
      <c r="C72" s="18" t="n"/>
      <c r="D72" s="18" t="n"/>
      <c r="E72" s="18" t="n"/>
      <c r="F72" s="18" t="n"/>
      <c r="G72" s="18" t="n"/>
      <c r="H72" s="19" t="n"/>
    </row>
    <row r="73">
      <c r="A73" s="17" t="inlineStr">
        <is>
          <t>D5.1</t>
        </is>
      </c>
      <c r="B73" s="4" t="inlineStr">
        <is>
          <t>Rubric-graded builds; reviewer time is the cost</t>
        </is>
      </c>
      <c r="C73" s="18" t="n"/>
      <c r="D73" s="18" t="n"/>
      <c r="E73" s="18" t="n"/>
      <c r="F73" s="18" t="n"/>
      <c r="G73" s="18" t="n"/>
      <c r="H73" s="19" t="n"/>
    </row>
    <row r="74">
      <c r="A74" s="17" t="inlineStr">
        <is>
          <t>D5.2</t>
        </is>
      </c>
      <c r="B74" s="4" t="inlineStr">
        <is>
          <t>Evidence-only: recognition comes from partners and adopters, not design</t>
        </is>
      </c>
      <c r="C74" s="18" t="n"/>
      <c r="D74" s="18" t="n"/>
      <c r="E74" s="18" t="n"/>
      <c r="F74" s="18" t="n"/>
      <c r="G74" s="18" t="n"/>
      <c r="H74" s="19" t="n"/>
    </row>
    <row r="75">
      <c r="A75" s="17" t="inlineStr">
        <is>
          <t>D5.3</t>
        </is>
      </c>
      <c r="B75" s="4" t="inlineStr">
        <is>
          <t>Evidence-only: needs an accredited provider partner</t>
        </is>
      </c>
      <c r="C75" s="18" t="n"/>
      <c r="D75" s="18" t="n"/>
      <c r="E75" s="18" t="n"/>
      <c r="F75" s="18" t="n"/>
      <c r="G75" s="18" t="n"/>
      <c r="H75" s="19" t="n"/>
    </row>
    <row r="76">
      <c r="A76" s="17" t="inlineStr">
        <is>
          <t>D5.4</t>
        </is>
      </c>
      <c r="B76" s="4" t="inlineStr">
        <is>
          <t>Capstone with pre/post timing</t>
        </is>
      </c>
      <c r="C76" s="18" t="n"/>
      <c r="D76" s="18" t="n"/>
      <c r="E76" s="18" t="n"/>
      <c r="F76" s="18" t="n"/>
      <c r="G76" s="18" t="n"/>
      <c r="H76" s="19" t="n"/>
    </row>
    <row r="77">
      <c r="A77" s="17" t="inlineStr">
        <is>
          <t>D6.1</t>
        </is>
      </c>
      <c r="B77" s="4" t="inlineStr">
        <is>
          <t>Define before pilot</t>
        </is>
      </c>
      <c r="C77" s="18" t="n"/>
      <c r="D77" s="18" t="n"/>
      <c r="E77" s="18" t="n"/>
      <c r="F77" s="18" t="n"/>
      <c r="G77" s="18" t="n"/>
      <c r="H77" s="19" t="n"/>
    </row>
    <row r="78">
      <c r="A78" s="17" t="inlineStr">
        <is>
          <t>D6.2</t>
        </is>
      </c>
      <c r="B78" s="4" t="inlineStr">
        <is>
          <t>Evidence-only: requires pilot data</t>
        </is>
      </c>
      <c r="C78" s="18" t="n"/>
      <c r="D78" s="18" t="n"/>
      <c r="E78" s="18" t="n"/>
      <c r="F78" s="18" t="n"/>
      <c r="G78" s="18" t="n"/>
      <c r="H78" s="19" t="n"/>
    </row>
    <row r="79">
      <c r="A79" s="17" t="inlineStr">
        <is>
          <t>D6.3</t>
        </is>
      </c>
      <c r="B79" s="4" t="inlineStr">
        <is>
          <t>LMS reporting at minimum</t>
        </is>
      </c>
      <c r="C79" s="18" t="n"/>
      <c r="D79" s="18" t="n"/>
      <c r="E79" s="18" t="n"/>
      <c r="F79" s="18" t="n"/>
      <c r="G79" s="18" t="n"/>
      <c r="H79" s="19" t="n"/>
    </row>
    <row r="80">
      <c r="A80" s="17" t="inlineStr">
        <is>
          <t>D7.1</t>
        </is>
      </c>
      <c r="B80" s="4" t="inlineStr">
        <is>
          <t>Quarterly refresh promise</t>
        </is>
      </c>
      <c r="C80" s="18" t="n"/>
      <c r="D80" s="18" t="n"/>
      <c r="E80" s="18" t="n"/>
      <c r="F80" s="18" t="n"/>
      <c r="G80" s="18" t="n"/>
      <c r="H80" s="19" t="n"/>
    </row>
    <row r="81">
      <c r="A81" s="17" t="inlineStr">
        <is>
          <t>D7.2</t>
        </is>
      </c>
      <c r="B81" s="4" t="inlineStr">
        <is>
          <t>Founder plus 1–2 practising MSL faculty</t>
        </is>
      </c>
      <c r="C81" s="18" t="n"/>
      <c r="D81" s="18" t="n"/>
      <c r="E81" s="18" t="n"/>
      <c r="F81" s="18" t="n"/>
      <c r="G81" s="18" t="n"/>
      <c r="H81" s="19" t="n"/>
    </row>
    <row r="82">
      <c r="A82" s="17" t="inlineStr">
        <is>
          <t>D7.3</t>
        </is>
      </c>
      <c r="B82" s="4" t="inlineStr">
        <is>
          <t>Teach patterns, show on several tools</t>
        </is>
      </c>
      <c r="C82" s="18" t="n"/>
      <c r="D82" s="18" t="n"/>
      <c r="E82" s="18" t="n"/>
      <c r="F82" s="18" t="n"/>
      <c r="G82" s="18" t="n"/>
      <c r="H82" s="19" t="n"/>
    </row>
    <row r="83">
      <c r="A83" s="17" t="inlineStr">
        <is>
          <t>D8.1</t>
        </is>
      </c>
      <c r="B83" s="4" t="inlineStr">
        <is>
          <t>Seat licence and private cohort</t>
        </is>
      </c>
      <c r="C83" s="18" t="n"/>
      <c r="D83" s="18" t="n"/>
      <c r="E83" s="18" t="n"/>
      <c r="F83" s="18" t="n"/>
      <c r="G83" s="18" t="n"/>
      <c r="H83" s="19" t="n"/>
    </row>
    <row r="84">
      <c r="A84" s="17" t="inlineStr">
        <is>
          <t>D8.2</t>
        </is>
      </c>
      <c r="B84" s="4" t="inlineStr">
        <is>
          <t>Evidence-only for certification; trust page can come first</t>
        </is>
      </c>
      <c r="C84" s="18" t="n"/>
      <c r="D84" s="18" t="n"/>
      <c r="E84" s="18" t="n"/>
      <c r="F84" s="18" t="n"/>
      <c r="G84" s="18" t="n"/>
      <c r="H84" s="19" t="n"/>
    </row>
    <row r="85">
      <c r="A85" s="17" t="inlineStr">
        <is>
          <t>D8.3</t>
        </is>
      </c>
      <c r="B85" s="4" t="inlineStr">
        <is>
          <t>SCORM export or hosted LMS with SSO</t>
        </is>
      </c>
      <c r="C85" s="18" t="n"/>
      <c r="D85" s="18" t="n"/>
      <c r="E85" s="18" t="n"/>
      <c r="F85" s="18" t="n"/>
      <c r="G85" s="18" t="n"/>
      <c r="H85" s="19" t="n"/>
    </row>
    <row r="86">
      <c r="A86" s="17" t="inlineStr">
        <is>
          <t>D8.4</t>
        </is>
      </c>
      <c r="B86" s="4" t="inlineStr">
        <is>
          <t>Enterprise white-glove tier</t>
        </is>
      </c>
      <c r="C86" s="18" t="n"/>
      <c r="D86" s="18" t="n"/>
      <c r="E86" s="18" t="n"/>
      <c r="F86" s="18" t="n"/>
      <c r="G86" s="18" t="n"/>
      <c r="H86" s="19" t="n"/>
    </row>
    <row r="87">
      <c r="A87" s="17" t="inlineStr">
        <is>
          <t>D8.5</t>
        </is>
      </c>
      <c r="B87" s="4" t="inlineStr">
        <is>
          <t>Evidence-only: needs signed pilots and permission</t>
        </is>
      </c>
      <c r="C87" s="18" t="n"/>
      <c r="D87" s="18" t="n"/>
      <c r="E87" s="18" t="n"/>
      <c r="F87" s="18" t="n"/>
      <c r="G87" s="18" t="n"/>
      <c r="H87" s="19" t="n"/>
    </row>
    <row r="88">
      <c r="A88" s="17" t="inlineStr">
        <is>
          <t>D9.1</t>
        </is>
      </c>
      <c r="B88" s="4" t="inlineStr">
        <is>
          <t>US framing throughout</t>
        </is>
      </c>
      <c r="C88" s="18" t="n"/>
      <c r="D88" s="18" t="n"/>
      <c r="E88" s="18" t="n"/>
      <c r="F88" s="18" t="n"/>
      <c r="G88" s="18" t="n"/>
      <c r="H88" s="19" t="n"/>
    </row>
    <row r="89">
      <c r="A89" s="17" t="inlineStr">
        <is>
          <t>D9.2</t>
        </is>
      </c>
      <c r="B89" s="4" t="inlineStr">
        <is>
          <t>Self-paced core is the product</t>
        </is>
      </c>
      <c r="C89" s="18" t="n"/>
      <c r="D89" s="18" t="n"/>
      <c r="E89" s="18" t="n"/>
      <c r="F89" s="18" t="n"/>
      <c r="G89" s="18" t="n"/>
      <c r="H89" s="19" t="n"/>
    </row>
    <row r="90">
      <c r="A90" s="17" t="inlineStr">
        <is>
          <t>D9.3</t>
        </is>
      </c>
      <c r="B90" s="4" t="inlineStr">
        <is>
          <t>Cohort alumni channel</t>
        </is>
      </c>
      <c r="C90" s="18" t="n"/>
      <c r="D90" s="18" t="n"/>
      <c r="E90" s="18" t="n"/>
      <c r="F90" s="18" t="n"/>
      <c r="G90" s="18" t="n"/>
      <c r="H90" s="19" t="n"/>
    </row>
    <row r="91">
      <c r="A91" s="17" t="inlineStr">
        <is>
          <t>D9.4</t>
        </is>
      </c>
      <c r="B91" s="4" t="inlineStr">
        <is>
          <t>Evidence-only: built over time or borrowed via partnership</t>
        </is>
      </c>
      <c r="C91" s="18" t="n"/>
      <c r="D91" s="18" t="n"/>
      <c r="E91" s="18" t="n"/>
      <c r="F91" s="18" t="n"/>
      <c r="G91" s="18" t="n"/>
      <c r="H91" s="19" t="n"/>
    </row>
    <row r="92">
      <c r="A92" s="17" t="inlineStr">
        <is>
          <t>D10.1</t>
        </is>
      </c>
      <c r="B92" s="4" t="inlineStr">
        <is>
          <t>Publish individual price</t>
        </is>
      </c>
      <c r="C92" s="18" t="n"/>
      <c r="D92" s="18" t="n"/>
      <c r="E92" s="18" t="n"/>
      <c r="F92" s="18" t="n"/>
      <c r="G92" s="18" t="n"/>
      <c r="H92" s="19" t="n"/>
    </row>
    <row r="93">
      <c r="A93" s="17" t="inlineStr">
        <is>
          <t>D10.2</t>
        </is>
      </c>
      <c r="B93" s="4" t="inlineStr">
        <is>
          <t>B2C tier</t>
        </is>
      </c>
      <c r="C93" s="18" t="n"/>
      <c r="D93" s="18" t="n"/>
      <c r="E93" s="18" t="n"/>
      <c r="F93" s="18" t="n"/>
      <c r="G93" s="18" t="n"/>
      <c r="H93" s="19" t="n"/>
    </row>
    <row r="94">
      <c r="A94" s="17" t="inlineStr">
        <is>
          <t>D10.3</t>
        </is>
      </c>
      <c r="B94" s="4" t="inlineStr">
        <is>
          <t>Validate with pilot buyers</t>
        </is>
      </c>
      <c r="C94" s="18" t="n"/>
      <c r="D94" s="18" t="n"/>
      <c r="E94" s="18" t="n"/>
      <c r="F94" s="18" t="n"/>
      <c r="G94" s="18" t="n"/>
      <c r="H94" s="19" t="n"/>
    </row>
    <row r="95">
      <c r="A95" s="17" t="inlineStr">
        <is>
          <t>D10.4</t>
        </is>
      </c>
      <c r="B95" s="4" t="inlineStr">
        <is>
          <t>Free first module</t>
        </is>
      </c>
      <c r="C95" s="18" t="n"/>
      <c r="D95" s="18" t="n"/>
      <c r="E95" s="18" t="n"/>
      <c r="F95" s="18" t="n"/>
      <c r="G95" s="18" t="n"/>
      <c r="H95" s="19" t="n"/>
    </row>
  </sheetData>
  <mergeCells count="43">
    <mergeCell ref="B84:H84"/>
    <mergeCell ref="B74:H74"/>
    <mergeCell ref="B65:H65"/>
    <mergeCell ref="B68:H68"/>
    <mergeCell ref="B83:H83"/>
    <mergeCell ref="B55:H55"/>
    <mergeCell ref="B92:H92"/>
    <mergeCell ref="B64:H64"/>
    <mergeCell ref="B95:H95"/>
    <mergeCell ref="B80:H80"/>
    <mergeCell ref="B76:H76"/>
    <mergeCell ref="B63:H63"/>
    <mergeCell ref="B89:H89"/>
    <mergeCell ref="B85:H85"/>
    <mergeCell ref="B94:H94"/>
    <mergeCell ref="B79:H79"/>
    <mergeCell ref="B75:H75"/>
    <mergeCell ref="B91:H91"/>
    <mergeCell ref="B54:H54"/>
    <mergeCell ref="B62:H62"/>
    <mergeCell ref="B72:H72"/>
    <mergeCell ref="B90:H90"/>
    <mergeCell ref="B59:H59"/>
    <mergeCell ref="B81:H81"/>
    <mergeCell ref="B66:H66"/>
    <mergeCell ref="B93:H93"/>
    <mergeCell ref="B56:H56"/>
    <mergeCell ref="B58:H58"/>
    <mergeCell ref="B71:H71"/>
    <mergeCell ref="B77:H77"/>
    <mergeCell ref="B70:H70"/>
    <mergeCell ref="B86:H86"/>
    <mergeCell ref="B60:H60"/>
    <mergeCell ref="B67:H67"/>
    <mergeCell ref="B61:H61"/>
    <mergeCell ref="B57:H57"/>
    <mergeCell ref="B88:H88"/>
    <mergeCell ref="B53:H53"/>
    <mergeCell ref="B82:H82"/>
    <mergeCell ref="B73:H73"/>
    <mergeCell ref="B69:H69"/>
    <mergeCell ref="B87:H87"/>
    <mergeCell ref="B78:H78"/>
  </mergeCells>
  <conditionalFormatting sqref="H5:H46">
    <cfRule type="expression" priority="1" dxfId="2">
      <formula>H5="Differentiator"</formula>
    </cfRule>
    <cfRule type="expression" priority="2" dxfId="3">
      <formula>H5="Improve on best"</formula>
    </cfRule>
    <cfRule type="expression" priority="3" dxfId="4">
      <formula>H5="Parity"</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4" customWidth="1" min="1" max="1"/>
    <col width="110" customWidth="1" min="2" max="2"/>
  </cols>
  <sheetData>
    <row r="1">
      <c r="A1" s="1" t="inlineStr">
        <is>
          <t>Sources — every page behind a score</t>
        </is>
      </c>
    </row>
    <row r="2">
      <c r="A2" s="2" t="inlineStr">
        <is>
          <t>Checked October 2026.</t>
        </is>
      </c>
    </row>
    <row r="4">
      <c r="A4" s="5" t="inlineStr">
        <is>
          <t>Tool</t>
        </is>
      </c>
      <c r="B4" s="5" t="inlineStr">
        <is>
          <t>Source URL</t>
        </is>
      </c>
    </row>
    <row r="5">
      <c r="A5" s="4" t="inlineStr">
        <is>
          <t>MSL Society</t>
        </is>
      </c>
      <c r="B5" s="20" t="inlineStr">
        <is>
          <t>https://members.themsls.org/events/EventDetails.aspx?id=2071997</t>
        </is>
      </c>
    </row>
    <row r="6">
      <c r="A6" s="4" t="inlineStr">
        <is>
          <t>MSL Society</t>
        </is>
      </c>
      <c r="B6" s="20" t="inlineStr">
        <is>
          <t>https://themsls.org/msl-board-certification/</t>
        </is>
      </c>
    </row>
    <row r="7">
      <c r="A7" s="4" t="inlineStr">
        <is>
          <t>MSL Society</t>
        </is>
      </c>
      <c r="B7" s="20" t="inlineStr">
        <is>
          <t>https://themsls.org/staying-relevant-and-effective-as-an-msl-in-the-era-of-ai/</t>
        </is>
      </c>
    </row>
    <row r="8">
      <c r="A8" s="4" t="inlineStr">
        <is>
          <t>MSL Society</t>
        </is>
      </c>
      <c r="B8" s="20" t="inlineStr">
        <is>
          <t>https://themsls.org/iacet-accreditation/</t>
        </is>
      </c>
    </row>
    <row r="9">
      <c r="A9" s="4" t="inlineStr">
        <is>
          <t>MSL Society</t>
        </is>
      </c>
      <c r="B9" s="20" t="inlineStr">
        <is>
          <t>https://members.themsls.org/event/AIandHEORTrainingBundle</t>
        </is>
      </c>
    </row>
    <row r="10">
      <c r="A10" s="4" t="inlineStr">
        <is>
          <t>MSL Society</t>
        </is>
      </c>
      <c r="B10" s="20" t="inlineStr">
        <is>
          <t>https://themsls.org/customized-medical-science-liaison-training/</t>
        </is>
      </c>
    </row>
    <row r="11">
      <c r="A11" s="4" t="inlineStr">
        <is>
          <t>MSL Society</t>
        </is>
      </c>
      <c r="B11" s="20" t="inlineStr">
        <is>
          <t>https://members.themsls.org/page/joinnow</t>
        </is>
      </c>
    </row>
    <row r="12">
      <c r="A12" s="4" t="inlineStr">
        <is>
          <t>MSL Society</t>
        </is>
      </c>
      <c r="B12" s="20" t="inlineStr">
        <is>
          <t>https://www.themsls.org/</t>
        </is>
      </c>
    </row>
    <row r="13">
      <c r="A13" s="4" t="inlineStr">
        <is>
          <t>MSL Society</t>
        </is>
      </c>
      <c r="B13" s="20" t="inlineStr">
        <is>
          <t>https://themsls.org/project/2026-medical-affairs-perspectives-on-ai-for-actionable-insight-collection-and-analysis/</t>
        </is>
      </c>
    </row>
    <row r="14">
      <c r="A14" s="4" t="inlineStr">
        <is>
          <t>ACMA</t>
        </is>
      </c>
      <c r="B14" s="20" t="inlineStr">
        <is>
          <t>https://aijourn.com/?p=438353</t>
        </is>
      </c>
    </row>
    <row r="15">
      <c r="A15" s="4" t="inlineStr">
        <is>
          <t>ACMA</t>
        </is>
      </c>
      <c r="B15" s="20" t="inlineStr">
        <is>
          <t>https://www.medicalaffairsspecialist.org/bcmas</t>
        </is>
      </c>
    </row>
    <row r="16">
      <c r="A16" s="4" t="inlineStr">
        <is>
          <t>ACMA</t>
        </is>
      </c>
      <c r="B16" s="20" t="inlineStr">
        <is>
          <t>https://www.medicalaffairsspecialist.org/certifications/bcmas/faq</t>
        </is>
      </c>
    </row>
    <row r="17">
      <c r="A17" s="4" t="inlineStr">
        <is>
          <t>ACMA</t>
        </is>
      </c>
      <c r="B17" s="20" t="inlineStr">
        <is>
          <t>https://www.medicalaffairsspecialist.org/certifications/certificate-programs/accelerated-medical-science-liaison</t>
        </is>
      </c>
    </row>
    <row r="18">
      <c r="A18" s="4" t="inlineStr">
        <is>
          <t>ACMA</t>
        </is>
      </c>
      <c r="B18" s="20" t="inlineStr">
        <is>
          <t>https://www.medicalaffairsspecialist.org/certifications/bcmas/policies/credits</t>
        </is>
      </c>
    </row>
    <row r="19">
      <c r="A19" s="4" t="inlineStr">
        <is>
          <t>ACMA</t>
        </is>
      </c>
      <c r="B19" s="20" t="inlineStr">
        <is>
          <t>https://www.acmalifesciences.org/</t>
        </is>
      </c>
    </row>
    <row r="20">
      <c r="A20" s="4" t="inlineStr">
        <is>
          <t>ACMA</t>
        </is>
      </c>
      <c r="B20" s="20" t="inlineStr">
        <is>
          <t>https://www.medicalaffairsspecialist.org/privacy-policy</t>
        </is>
      </c>
    </row>
    <row r="21">
      <c r="A21" s="4" t="inlineStr">
        <is>
          <t>ACMA</t>
        </is>
      </c>
      <c r="B21" s="20" t="inlineStr">
        <is>
          <t>https://www.medicalaffairsspecialist.org/</t>
        </is>
      </c>
    </row>
    <row r="22">
      <c r="A22" s="4" t="inlineStr">
        <is>
          <t>ACMA</t>
        </is>
      </c>
      <c r="B22" s="20" t="inlineStr">
        <is>
          <t>https://www.medicalaffairsspecialist.org/certifications/free-course</t>
        </is>
      </c>
    </row>
    <row r="23">
      <c r="A23" s="4" t="inlineStr">
        <is>
          <t>MAPS</t>
        </is>
      </c>
      <c r="B23" s="20" t="inlineStr">
        <is>
          <t>https://medicalaffairs.org/webinar-ai-reshaping-msl-workflows/</t>
        </is>
      </c>
    </row>
    <row r="24">
      <c r="A24" s="4" t="inlineStr">
        <is>
          <t>MAPS</t>
        </is>
      </c>
      <c r="B24" s="20" t="inlineStr">
        <is>
          <t>https://medicalaffairs.org/medical-affairs-training/</t>
        </is>
      </c>
    </row>
    <row r="25">
      <c r="A25" s="4" t="inlineStr">
        <is>
          <t>MAPS</t>
        </is>
      </c>
      <c r="B25" s="20" t="inlineStr">
        <is>
          <t>https://medicalaffairs.org/category/content-hub/search-by-type/e-learning-courses/</t>
        </is>
      </c>
    </row>
    <row r="26">
      <c r="A26" s="4" t="inlineStr">
        <is>
          <t>MAPS</t>
        </is>
      </c>
      <c r="B26" s="20" t="inlineStr">
        <is>
          <t>https://medicalaffairs.org/podcasts/from-ai-black-box-to-audit-ready-medical-affairs/</t>
        </is>
      </c>
    </row>
    <row r="27">
      <c r="A27" s="4" t="inlineStr">
        <is>
          <t>MAPS</t>
        </is>
      </c>
      <c r="B27" s="20" t="inlineStr">
        <is>
          <t>https://medicalaffairs.org/elevate-articles/ai-audit-framework-medical-affairs-professionals/</t>
        </is>
      </c>
    </row>
    <row r="28">
      <c r="A28" s="4" t="inlineStr">
        <is>
          <t>MAPS</t>
        </is>
      </c>
      <c r="B28" s="20" t="inlineStr">
        <is>
          <t>https://medicalaffairs.org/events/maps-fm-sunday</t>
        </is>
      </c>
    </row>
    <row r="29">
      <c r="A29" s="4" t="inlineStr">
        <is>
          <t>MAPS</t>
        </is>
      </c>
      <c r="B29" s="20" t="inlineStr">
        <is>
          <t>https://medicalaffairs.org/privacy-policy/</t>
        </is>
      </c>
    </row>
    <row r="30">
      <c r="A30" s="4" t="inlineStr">
        <is>
          <t>MAPS</t>
        </is>
      </c>
      <c r="B30" s="20" t="inlineStr">
        <is>
          <t>https://medicalaffairs.org/white-papers/enabling-ai-digital-transformation/</t>
        </is>
      </c>
    </row>
    <row r="31">
      <c r="A31" s="4" t="inlineStr">
        <is>
          <t>MAPS</t>
        </is>
      </c>
      <c r="B31" s="20" t="inlineStr">
        <is>
          <t>https://medicalaffairs.org/membership/</t>
        </is>
      </c>
    </row>
    <row r="32">
      <c r="A32" s="4" t="inlineStr">
        <is>
          <t>CELforPharma</t>
        </is>
      </c>
      <c r="B32" s="20" t="inlineStr">
        <is>
          <t>https://www.celforpharma.com/course/ai-medical-affairs-course</t>
        </is>
      </c>
    </row>
    <row r="33">
      <c r="A33" s="4" t="inlineStr">
        <is>
          <t>CELforPharma</t>
        </is>
      </c>
      <c r="B33" s="20" t="inlineStr">
        <is>
          <t>https://www.celforpharma.com/about-us</t>
        </is>
      </c>
    </row>
    <row r="34">
      <c r="A34" s="4" t="inlineStr">
        <is>
          <t>CELforPharma</t>
        </is>
      </c>
      <c r="B34" s="20" t="inlineStr">
        <is>
          <t>https://www.celforpharma.com</t>
        </is>
      </c>
    </row>
    <row r="35">
      <c r="A35" s="4" t="inlineStr">
        <is>
          <t>Eularis</t>
        </is>
      </c>
      <c r="B35" s="20" t="inlineStr">
        <is>
          <t>https://eularis.com/ai-training-in-pharma/</t>
        </is>
      </c>
    </row>
    <row r="36">
      <c r="A36" s="4" t="inlineStr">
        <is>
          <t>Eularis</t>
        </is>
      </c>
      <c r="B36" s="20" t="inlineStr">
        <is>
          <t>https://www.eularis.com</t>
        </is>
      </c>
    </row>
    <row r="37">
      <c r="A37" s="4" t="inlineStr">
        <is>
          <t>Eularis</t>
        </is>
      </c>
      <c r="B37" s="20" t="inlineStr">
        <is>
          <t>https://eularis.com/membership/</t>
        </is>
      </c>
    </row>
    <row r="38">
      <c r="A38" s="4" t="inlineStr">
        <is>
          <t>Eularis</t>
        </is>
      </c>
      <c r="B38" s="20" t="inlineStr">
        <is>
          <t>https://eularis.com/privacy-policy/</t>
        </is>
      </c>
    </row>
    <row r="39">
      <c r="A39" s="4" t="inlineStr">
        <is>
          <t>MA Value / MSL Mastery</t>
        </is>
      </c>
      <c r="B39" s="20" t="inlineStr">
        <is>
          <t>https://medicalaffairsvalue.com/blog/ai-agents-made-simple-for-medical-affairs/</t>
        </is>
      </c>
    </row>
    <row r="40">
      <c r="A40" s="4" t="inlineStr">
        <is>
          <t>MA Value / MSL Mastery</t>
        </is>
      </c>
      <c r="B40" s="20" t="inlineStr">
        <is>
          <t>https://www.mslmastery.com/training</t>
        </is>
      </c>
    </row>
    <row r="41">
      <c r="A41" s="4" t="inlineStr">
        <is>
          <t>MA Value / MSL Mastery</t>
        </is>
      </c>
      <c r="B41" s="20" t="inlineStr">
        <is>
          <t>https://mslmastery.com</t>
        </is>
      </c>
    </row>
    <row r="42">
      <c r="A42" s="4" t="inlineStr">
        <is>
          <t>MA Value / MSL Mastery</t>
        </is>
      </c>
      <c r="B42" s="20" t="inlineStr">
        <is>
          <t>https://www.mslmastery.com/offers/E5fiZ28U/checkout</t>
        </is>
      </c>
    </row>
    <row r="43">
      <c r="A43" s="4" t="inlineStr">
        <is>
          <t>MA Value / MSL Mastery</t>
        </is>
      </c>
      <c r="B43" s="20" t="inlineStr">
        <is>
          <t>https://medicalaffairsvalue.com/blog/why-medical-affairs-needs-to-learn-ai-agents-now/</t>
        </is>
      </c>
    </row>
    <row r="44">
      <c r="A44" s="4" t="inlineStr">
        <is>
          <t>MA Value / MSL Mastery</t>
        </is>
      </c>
      <c r="B44" s="20" t="inlineStr">
        <is>
          <t>https://medicalaffairsvalue.com/blog</t>
        </is>
      </c>
    </row>
    <row r="45">
      <c r="A45" s="4" t="inlineStr">
        <is>
          <t>MA Value / MSL Mastery</t>
        </is>
      </c>
      <c r="B45" s="20" t="inlineStr">
        <is>
          <t>https://www.diaglobal.org/en/course-listing/webinar/2026/04/dia-direct-from-ai-experiment-to-strategic-advantage-future-proofing-msl-engagement</t>
        </is>
      </c>
    </row>
    <row r="46">
      <c r="A46" s="4" t="inlineStr">
        <is>
          <t>MA Value / MSL Mastery</t>
        </is>
      </c>
      <c r="B46" s="20" t="inlineStr">
        <is>
          <t>https://www.diaglobal.org/en/course-listing/training/2026/04/integrating-ai-into-medical-affairs-workflows-for-efficiency-and-impact/faculty</t>
        </is>
      </c>
    </row>
    <row r="47">
      <c r="A47" s="4" t="inlineStr">
        <is>
          <t>MA Value / MSL Mastery</t>
        </is>
      </c>
      <c r="B47" s="20" t="inlineStr">
        <is>
          <t>https://www.mslmastery.com/privacy-policy</t>
        </is>
      </c>
    </row>
    <row r="48">
      <c r="A48" s="4" t="inlineStr">
        <is>
          <t>MA Value / MSL Mastery</t>
        </is>
      </c>
      <c r="B48" s="20" t="inlineStr">
        <is>
          <t>https://fiercepharmaengage2025.sched.com/event/1s6Gj/workshop-ai-in-action-practical-strategies-for-msls-to-enhance-engagement-and-insights</t>
        </is>
      </c>
    </row>
    <row r="49">
      <c r="A49" s="4" t="inlineStr">
        <is>
          <t>MA Value / MSL Mastery</t>
        </is>
      </c>
      <c r="B49" s="20" t="inlineStr">
        <is>
          <t>https://medicalaffairsvalue.com</t>
        </is>
      </c>
    </row>
    <row r="50">
      <c r="A50" s="4" t="inlineStr">
        <is>
          <t>Inizio MSL Interact</t>
        </is>
      </c>
      <c r="B50" s="20" t="inlineStr">
        <is>
          <t>https://inizio.com/insights/how-ai-improves-training-for-msls-and-sales-reps/</t>
        </is>
      </c>
    </row>
    <row r="51">
      <c r="A51" s="4" t="inlineStr">
        <is>
          <t>Inizio MSL Interact</t>
        </is>
      </c>
      <c r="B51" s="20" t="inlineStr">
        <is>
          <t>https://inizio.com/insights/elevate-msl-performance/</t>
        </is>
      </c>
    </row>
    <row r="52">
      <c r="A52" s="4" t="inlineStr">
        <is>
          <t>Inizio MSL Interact</t>
        </is>
      </c>
      <c r="B52" s="20" t="inlineStr">
        <is>
          <t>https://inizio.com/insights/inizio-medical-launches-ion-ai-to-transform-medical-affairs-capabilities/</t>
        </is>
      </c>
    </row>
    <row r="53">
      <c r="A53" s="4" t="inlineStr">
        <is>
          <t>Inizio MSL Interact</t>
        </is>
      </c>
      <c r="B53" s="20" t="inlineStr">
        <is>
          <t>https://inizio.com/insights/generative-ai-msl-training-first-mover-advantage/</t>
        </is>
      </c>
    </row>
    <row r="54">
      <c r="A54" s="4" t="inlineStr">
        <is>
          <t>Inizio MSL Interact</t>
        </is>
      </c>
      <c r="B54" s="20" t="inlineStr">
        <is>
          <t>https://pme.pmlive.com/articles/d81e4176-10b9-11f1-bac2-4201ac1fa007</t>
        </is>
      </c>
    </row>
    <row r="55">
      <c r="A55" s="4" t="inlineStr">
        <is>
          <t>Section (horizontal)</t>
        </is>
      </c>
      <c r="B55" s="20" t="inlineStr">
        <is>
          <t>https://www.sectionai.com/courses/all-courses</t>
        </is>
      </c>
    </row>
    <row r="56">
      <c r="A56" s="4" t="inlineStr">
        <is>
          <t>Section (horizontal)</t>
        </is>
      </c>
      <c r="B56" s="20" t="inlineStr">
        <is>
          <t>https://www.sectionai.com/blog/benchmarking-sections-ai-proficiency</t>
        </is>
      </c>
    </row>
    <row r="57">
      <c r="A57" s="4" t="inlineStr">
        <is>
          <t>Section (horizontal)</t>
        </is>
      </c>
      <c r="B57" s="20" t="inlineStr">
        <is>
          <t>https://www.sectionai.com/pricing</t>
        </is>
      </c>
    </row>
    <row r="58">
      <c r="A58" s="4" t="inlineStr">
        <is>
          <t>Section (horizontal)</t>
        </is>
      </c>
      <c r="B58" s="20" t="inlineStr">
        <is>
          <t>https://www.sectionai.com/</t>
        </is>
      </c>
    </row>
    <row r="59">
      <c r="A59" s="4" t="inlineStr">
        <is>
          <t>Section (horizontal)</t>
        </is>
      </c>
      <c r="B59" s="20" t="inlineStr">
        <is>
          <t>https://www.sectionai.com/events/live-events/the-state-of-ai-proficiency-in-the-enterprise-2</t>
        </is>
      </c>
    </row>
    <row r="60">
      <c r="A60" s="4" t="inlineStr">
        <is>
          <t>Section (horizontal)</t>
        </is>
      </c>
      <c r="B60" s="20" t="inlineStr">
        <is>
          <t>https://www.credly.com/org/section/badge/section-profai-ai-proficiency</t>
        </is>
      </c>
    </row>
    <row r="61">
      <c r="A61" s="4" t="inlineStr">
        <is>
          <t>Section (horizontal)</t>
        </is>
      </c>
      <c r="B61" s="20" t="inlineStr">
        <is>
          <t>https://www.sectionai.com/legal/platform-privacy-notice</t>
        </is>
      </c>
    </row>
    <row r="62">
      <c r="A62" s="4" t="inlineStr">
        <is>
          <t>Section (horizontal)</t>
        </is>
      </c>
      <c r="B62" s="20" t="inlineStr">
        <is>
          <t>https://www.credly.com/org/section/badge/section-x-havas-profai-ai-proficiency</t>
        </is>
      </c>
    </row>
    <row r="63">
      <c r="A63" s="4" t="inlineStr">
        <is>
          <t>MSL AI Skills (design target)</t>
        </is>
      </c>
      <c r="B63" s="4" t="inlineStr">
        <is>
          <t>Founder's files: MSL_AI_Upskilling_MetaPrompt.md and MSL_MetaPrompt_Operating_Guide.md (Aug 2026). No live product site.</t>
        </is>
      </c>
    </row>
    <row r="64">
      <c r="A64" s="4" t="inlineStr">
        <is>
          <t>Market evidence</t>
        </is>
      </c>
      <c r="B64" s="20" t="inlineStr">
        <is>
          <t>https://themsljournal.com/article/msl-salary-and-compensation-2022-data-from-medical-science-liaisons-and-msl-management-roles-in-the-united-states/</t>
        </is>
      </c>
    </row>
    <row r="65">
      <c r="A65" s="4" t="inlineStr">
        <is>
          <t>Market evidence</t>
        </is>
      </c>
      <c r="B65" s="20" t="inlineStr">
        <is>
          <t>https://www.bplogix.com/2026-med-affairs-survey</t>
        </is>
      </c>
    </row>
    <row r="66">
      <c r="A66" s="4" t="inlineStr">
        <is>
          <t>Market evidence</t>
        </is>
      </c>
      <c r="B66" s="20" t="inlineStr">
        <is>
          <t>https://www.veeva.com/eu/resources/how-ai-is-changing-kol-behavior/</t>
        </is>
      </c>
    </row>
    <row r="67">
      <c r="A67" s="4" t="inlineStr">
        <is>
          <t>Market evidence</t>
        </is>
      </c>
      <c r="B67" s="20" t="inlineStr">
        <is>
          <t>https://trainingmag.com/2025-training-industry-report/</t>
        </is>
      </c>
    </row>
    <row r="68">
      <c r="A68" s="4" t="inlineStr">
        <is>
          <t>Market evidence</t>
        </is>
      </c>
      <c r="B68" s="20" t="inlineStr">
        <is>
          <t>https://www.celforpharma.com/course/ai-medical-affairs-course</t>
        </is>
      </c>
    </row>
    <row r="69">
      <c r="A69" s="4" t="inlineStr">
        <is>
          <t>Market evidence</t>
        </is>
      </c>
      <c r="B69" s="20" t="inlineStr">
        <is>
          <t>https://www.sectionai.com/pricing</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26" customWidth="1" min="2" max="2"/>
    <col width="90" customWidth="1" min="3" max="3"/>
    <col width="50" customWidth="1" min="4" max="4"/>
  </cols>
  <sheetData>
    <row r="1">
      <c r="A1" s="1" t="inlineStr">
        <is>
          <t>Players</t>
        </is>
      </c>
    </row>
    <row r="2">
      <c r="A2" s="2" t="inlineStr">
        <is>
          <t>Profiles from this session's research (Oct 2026).</t>
        </is>
      </c>
    </row>
    <row r="4">
      <c r="A4" s="5" t="inlineStr">
        <is>
          <t>Player</t>
        </is>
      </c>
      <c r="B4" s="5" t="inlineStr">
        <is>
          <t>Segment</t>
        </is>
      </c>
      <c r="C4" s="5" t="inlineStr">
        <is>
          <t>Profile</t>
        </is>
      </c>
      <c r="D4" s="5" t="inlineStr">
        <is>
          <t>Source</t>
        </is>
      </c>
    </row>
    <row r="5">
      <c r="A5" s="4" t="inlineStr">
        <is>
          <t>MSL Society</t>
        </is>
      </c>
      <c r="B5" s="4" t="inlineStr">
        <is>
          <t>MSL association (audience incumbent)</t>
        </is>
      </c>
      <c r="C5" s="4" t="inlineStr">
        <is>
          <t>US 501(c)(3); CEO-led. 4-hour live Zoom 'Staying Relevant and Effective as an MSL in the Era of AI', $500 non-member / $450 member; last run 14 Aug 2026, next date TBD. No assessment, certificate, CEU or recording for the AI course. Owns MSL membership, journal, conference and MSL-BC certification (which does not cover AI). Team training clients named org-wide.</t>
        </is>
      </c>
      <c r="D5" s="4" t="inlineStr">
        <is>
          <t>https://themsls.org/staying-relevant-and-effective-as-an-msl-in-the-era-of-ai/</t>
        </is>
      </c>
    </row>
    <row r="6">
      <c r="A6" s="4" t="inlineStr">
        <is>
          <t>ACMA</t>
        </is>
      </c>
      <c r="B6" s="4" t="inlineStr">
        <is>
          <t>Medical-affairs certification body</t>
        </is>
      </c>
      <c r="C6" s="4" t="inlineStr">
        <is>
          <t>Privately held (Oradell, NJ). BCMAS board certification $2,399 (~30 h, self-paced, 13 modules) added AI content Nov 2025 incl. no-code agents per press release. Knowledge exam, no practical AI assessment. CME via ScientiaCME on four non-AI modules. Named team clients Gilead, Sanofi, Novartis, Baxter. Closest to the certification moat.</t>
        </is>
      </c>
      <c r="D6" s="4" t="inlineStr">
        <is>
          <t>https://www.medicalaffairsspecialist.org/bcmas</t>
        </is>
      </c>
    </row>
    <row r="7">
      <c r="A7" s="4" t="inlineStr">
        <is>
          <t>MAPS</t>
        </is>
      </c>
      <c r="B7" s="4" t="inlineStr">
        <is>
          <t>Medical-affairs society</t>
        </is>
      </c>
      <c r="C7" s="4" t="inlineStr">
        <is>
          <t>Colorado non-profit, 18,000+ members in 400+ companies. AI Foundations eLearning (80% quiz certificate) and ~120-min advanced AI course; heavy 2026 AI webinar and white-paper output. Awareness/strategy level; no hands-on builds. Team membership $235–265 per member.</t>
        </is>
      </c>
      <c r="D7" s="4" t="inlineStr">
        <is>
          <t>https://medicalaffairs.org/membership/</t>
        </is>
      </c>
    </row>
    <row r="8">
      <c r="A8" s="4" t="inlineStr">
        <is>
          <t>CELforPharma</t>
        </is>
      </c>
      <c r="B8" s="4" t="inlineStr">
        <is>
          <t>Pharma training company (EU)</t>
        </is>
      </c>
      <c r="C8" s="4" t="inlineStr">
        <is>
          <t>Belgian, since 2005. 2-day in-person 'AI for Medical Affairs' in Brussels, EUR 3,370 (early bird EUR 2,970), max 20; includes Colab coding and insight-analysis workshops. Attendance certificate only; CET only; little PV/off-label content.</t>
        </is>
      </c>
      <c r="D8" s="4" t="inlineStr">
        <is>
          <t>https://www.celforpharma.com/course/ai-medical-affairs-course</t>
        </is>
      </c>
    </row>
    <row r="9">
      <c r="A9" s="4" t="inlineStr">
        <is>
          <t>Eularis</t>
        </is>
      </c>
      <c r="B9" s="4" t="inlineStr">
        <is>
          <t>AI consultancy (pharma-wide)</t>
        </is>
      </c>
      <c r="C9" s="4" t="inlineStr">
        <is>
          <t>UK-run, founder-led. Exec masterclass, function tracks and AI Enablement Institute (business-unit licence, partner places capped at 5). Testimonials from Roche, Pfizer, Novo Nordisk, Takeda. No prices, no MSL focus, no builds or credential.</t>
        </is>
      </c>
      <c r="D9" s="4" t="inlineStr">
        <is>
          <t>https://eularis.com/ai-training-in-pharma/</t>
        </is>
      </c>
    </row>
    <row r="10">
      <c r="A10" s="4" t="inlineStr">
        <is>
          <t>Medical Affairs Value / MSL Mastery</t>
        </is>
      </c>
      <c r="B10" s="4" t="inlineStr">
        <is>
          <t>Boutique MSL trainer</t>
        </is>
      </c>
      <c r="C10" s="4" t="inlineStr">
        <is>
          <t>Founder-led (Phoenix, AZ); paid AI training sold via MSL Mastery. 60-minute 'AI Agent-in-a-Box' live build in Copilot/ChatGPT plus customized team modules; claims 500+ trained in 2025. Nearest in content; no compliance, assessment, credential or public price.</t>
        </is>
      </c>
      <c r="D10" s="4" t="inlineStr">
        <is>
          <t>https://www.mslmastery.com/training</t>
        </is>
      </c>
    </row>
    <row r="11">
      <c r="A11" s="4" t="inlineStr">
        <is>
          <t>Inizio MSL Interact (HCP Interact)</t>
        </is>
      </c>
      <c r="B11" s="4" t="inlineStr">
        <is>
          <t>Adjacent: AI that trains MSLs</t>
        </is>
      </c>
      <c r="C11" s="4" t="inlineStr">
        <is>
          <t>Inizio (CD&amp;R-backed, ~10,000 staff). LLM HCP avatars for engagement rehearsal inside iON AI platform (launched Mar 2025). Does not teach MSLs to use AI; strong on dashboards and TA customization. No pricing or named clients.</t>
        </is>
      </c>
      <c r="D11" s="4" t="inlineStr">
        <is>
          <t>https://inizio.com/insights/elevate-msl-performance/</t>
        </is>
      </c>
    </row>
    <row r="12">
      <c r="A12" s="4" t="inlineStr">
        <is>
          <t>Section</t>
        </is>
      </c>
      <c r="B12" s="4" t="inlineStr">
        <is>
          <t>Horizontal AI upskilling benchmark</t>
        </is>
      </c>
      <c r="C12" s="4" t="inlineStr">
        <is>
          <t>US AI-proficiency platform: free tier, $41–82/mo individual, $750/seat small teams; Credly badge, SSO/LMS, admin dashboard, quantified case studies (Logitech, Horizon Media). Not pharma-specific; no compliance content.</t>
        </is>
      </c>
      <c r="D12" s="4" t="inlineStr">
        <is>
          <t>https://www.sectionai.com/pricing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4" customWidth="1" min="1" max="1"/>
    <col width="44" customWidth="1" min="2" max="2"/>
    <col width="50" customWidth="1" min="3" max="3"/>
    <col width="60" customWidth="1" min="4" max="4"/>
  </cols>
  <sheetData>
    <row r="1">
      <c r="A1" s="1" t="inlineStr">
        <is>
          <t>Market signals</t>
        </is>
      </c>
    </row>
    <row r="2">
      <c r="A2" s="2" t="inlineStr">
        <is>
          <t>Opened and checked Oct 2026. Gaps marked for the founder to supply.</t>
        </is>
      </c>
    </row>
    <row r="4">
      <c r="A4" s="5" t="inlineStr">
        <is>
          <t>Signal</t>
        </is>
      </c>
      <c r="B4" s="5" t="inlineStr">
        <is>
          <t>Figure</t>
        </is>
      </c>
      <c r="C4" s="5" t="inlineStr">
        <is>
          <t>Why it matters</t>
        </is>
      </c>
      <c r="D4" s="5" t="inlineStr">
        <is>
          <t>Source</t>
        </is>
      </c>
    </row>
    <row r="5">
      <c r="A5" s="4" t="inlineStr">
        <is>
          <t>US MSL headcount</t>
        </is>
      </c>
      <c r="B5" s="4" t="inlineStr">
        <is>
          <t>No published national count found. MSL Society 2022 US salary survey had 1,384 respondents incl. 1,032 MSLs (a floor, not a total). GAP: founder to supply a sizing source.</t>
        </is>
      </c>
      <c r="C5" s="4" t="inlineStr">
        <is>
          <t>Sets the ceiling for the B2C and seat-licence revenue; must be sourced before any TAM claim.</t>
        </is>
      </c>
      <c r="D5" s="4" t="inlineStr">
        <is>
          <t>https://themsljournal.com/article/msl-salary-and-compensation-2022-data-from-medical-science-liaisons-and-msl-management-roles-in-the-united-states/</t>
        </is>
      </c>
    </row>
    <row r="6">
      <c r="A6" s="4" t="inlineStr">
        <is>
          <t>AI adoption in medical affairs (2026)</t>
        </is>
      </c>
      <c r="B6" s="4" t="inlineStr">
        <is>
          <t>BP Logix benchmark, 79 respondents Feb–May 2026: literature monitoring the top use case (44% implemented, 38% want to expand); validation/accuracy the top barrier; 49% manually review every AI output.</t>
        </is>
      </c>
      <c r="C6" s="4" t="inlineStr">
        <is>
          <t>Demand is real but practice lags belief; the review-gate and verification skills the curriculum teaches map to the stated barrier. Small, non-representative sample.</t>
        </is>
      </c>
      <c r="D6" s="4" t="inlineStr">
        <is>
          <t>https://www.bplogix.com/2026-med-affairs-survey</t>
        </is>
      </c>
    </row>
    <row r="7">
      <c r="A7" s="4" t="inlineStr">
        <is>
          <t>KOLs already use AI before meeting MSLs</t>
        </is>
      </c>
      <c r="B7" s="4" t="inlineStr">
        <is>
          <t>Veeva KOL survey (75 KOLs, Apr 2026): 40% of HCPs would ask AI before contacting an MSL; 88% of KOLs expect MSL interactions to change.</t>
        </is>
      </c>
      <c r="C7" s="4" t="inlineStr">
        <is>
          <t>The MSL role is being reshaped by AI on the customer side, which raises the urgency for MSLs to work fluently with AI.</t>
        </is>
      </c>
      <c r="D7" s="4" t="inlineStr">
        <is>
          <t>https://www.veeva.com/eu/resources/how-ai-is-changing-kol-behavior/</t>
        </is>
      </c>
    </row>
    <row r="8">
      <c r="A8" s="4" t="inlineStr">
        <is>
          <t>US corporate training spend</t>
        </is>
      </c>
      <c r="B8" s="4" t="inlineStr">
        <is>
          <t>Training magazine 2025: US training spend $102.8bn (+4.9%); $874 per learner on average; large companies $468 per learner; 40 hours per employee.</t>
        </is>
      </c>
      <c r="C8" s="4" t="inlineStr">
        <is>
          <t>A typical per-learner budget is under $1,000 a year, so enterprise seat pricing above that needs a medical-affairs-specific budget line, not general L&amp;D.</t>
        </is>
      </c>
      <c r="D8" s="4" t="inlineStr">
        <is>
          <t>https://trainingmag.com/2025-training-industry-report/</t>
        </is>
      </c>
    </row>
    <row r="9">
      <c r="A9" s="4" t="inlineStr">
        <is>
          <t>Price benchmark — deep MA course</t>
        </is>
      </c>
      <c r="B9" s="4" t="inlineStr">
        <is>
          <t>CELforPharma AI for Medical Affairs: EUR 3,370 (early bird EUR 2,970) for a 2-day in-person course in Brussels.</t>
        </is>
      </c>
      <c r="C9" s="4" t="inlineStr">
        <is>
          <t>Upper anchor for a deep, live, medical-affairs AI course.</t>
        </is>
      </c>
      <c r="D9" s="4" t="inlineStr">
        <is>
          <t>https://www.celforpharma.com/course/ai-medical-affairs-course</t>
        </is>
      </c>
    </row>
    <row r="10">
      <c r="A10" s="4" t="inlineStr">
        <is>
          <t>Price benchmark — horizontal AI upskilling</t>
        </is>
      </c>
      <c r="B10" s="4" t="inlineStr">
        <is>
          <t>Section: free Basic tier; On Demand $41/mo and Unlimited $82/mo billed annually; small teams $750/seat.</t>
        </is>
      </c>
      <c r="C10" s="4" t="inlineStr">
        <is>
          <t>Lower anchor: generic AI proficiency is cheap, so MSL-specific depth and compliance must justify the premium.</t>
        </is>
      </c>
      <c r="D10" s="4" t="inlineStr">
        <is>
          <t>https://www.sectionai.com/pricing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34" customWidth="1" min="1" max="1"/>
    <col width="12" customWidth="1" min="2" max="2"/>
    <col width="100" customWidth="1" min="3" max="3"/>
  </cols>
  <sheetData>
    <row r="1">
      <c r="A1" s="1" t="inlineStr">
        <is>
          <t>Viability — business criteria (1–5)</t>
        </is>
      </c>
    </row>
    <row r="2">
      <c r="A2" s="2" t="inlineStr">
        <is>
          <t>Reviewer judgement from the evidence in this workbook; edit yellow scores. Verdict: GREEN ≥ 75% of max, AMBER 55–74%, RED &lt; 55%.</t>
        </is>
      </c>
    </row>
    <row r="4">
      <c r="A4" s="5" t="inlineStr">
        <is>
          <t>Criterion</t>
        </is>
      </c>
      <c r="B4" s="5" t="inlineStr">
        <is>
          <t>Score (1–5)</t>
        </is>
      </c>
      <c r="C4" s="5" t="inlineStr">
        <is>
          <t>Reason</t>
        </is>
      </c>
    </row>
    <row r="5">
      <c r="A5" s="4" t="inlineStr">
        <is>
          <t>Problem urgency</t>
        </is>
      </c>
      <c r="B5" s="15" t="n">
        <v>4</v>
      </c>
      <c r="C5" s="4" t="inlineStr">
        <is>
          <t>KOLs already use AI before MSL meetings (Veeva, Apr 2026) and medical affairs reports belief outrunning practice (BP Logix 2026).</t>
        </is>
      </c>
    </row>
    <row r="6">
      <c r="A6" s="4" t="inlineStr">
        <is>
          <t>Willingness to pay (evidence)</t>
        </is>
      </c>
      <c r="B6" s="15" t="n">
        <v>3</v>
      </c>
      <c r="C6" s="4" t="inlineStr">
        <is>
          <t>Buyers already pay $450–500 for 4 hours (MSL Society), $2,399 (ACMA) and EUR 3,370 (CELforPharma); average L&amp;D spend is only $874 per learner.</t>
        </is>
      </c>
    </row>
    <row r="7">
      <c r="A7" s="4" t="inlineStr">
        <is>
          <t>Market size clarity</t>
        </is>
      </c>
      <c r="B7" s="15" t="n">
        <v>2</v>
      </c>
      <c r="C7" s="4" t="inlineStr">
        <is>
          <t>No published US MSL headcount found; only survey samples (1,032 MSLs in 2022). Must be sourced before pitching.</t>
        </is>
      </c>
    </row>
    <row r="8">
      <c r="A8" s="4" t="inlineStr">
        <is>
          <t>Differentiation</t>
        </is>
      </c>
      <c r="B8" s="15" t="n">
        <v>4</v>
      </c>
      <c r="C8" s="4" t="inlineStr">
        <is>
          <t>No competitor scores 2+ on vibe coding, automation with review gates, PV routing and performance assessment together.</t>
        </is>
      </c>
    </row>
    <row r="9">
      <c r="A9" s="4" t="inlineStr">
        <is>
          <t>Incumbent threat (5 = low)</t>
        </is>
      </c>
      <c r="B9" s="15" t="n">
        <v>2</v>
      </c>
      <c r="C9" s="4" t="inlineStr">
        <is>
          <t>MSL Society owns the audience; ACMA already added agent-building to BCMAS (Nov 2025); MAPS has 18,000 members and is producing AI content weekly.</t>
        </is>
      </c>
    </row>
    <row r="10">
      <c r="A10" s="4" t="inlineStr">
        <is>
          <t>Founder–market fit</t>
        </is>
      </c>
      <c r="B10" s="15" t="n">
        <v>3</v>
      </c>
      <c r="C10" s="4" t="inlineStr">
        <is>
          <t>Strong research, AI-build and pharmacy background; no practising MSL tenure, so co-faculty with field MSL experience is needed. Founder to confirm.</t>
        </is>
      </c>
    </row>
    <row r="11">
      <c r="A11" s="4" t="inlineStr">
        <is>
          <t>Time to MVP</t>
        </is>
      </c>
      <c r="B11" s="15" t="n">
        <v>4</v>
      </c>
      <c r="C11" s="4" t="inlineStr">
        <is>
          <t>Self-paced core plus prompt/agent library can ship in months with off-the-shelf LMS.</t>
        </is>
      </c>
    </row>
    <row r="12">
      <c r="A12" s="4" t="inlineStr">
        <is>
          <t>Enterprise procurement friction</t>
        </is>
      </c>
      <c r="B12" s="15" t="n">
        <v>2</v>
      </c>
      <c r="C12" s="4" t="inlineStr">
        <is>
          <t>Pharma vendor onboarding (InfoSec questionnaire, MSA) and IT restrictions on AI tools slow team sales.</t>
        </is>
      </c>
    </row>
    <row r="13">
      <c r="A13" s="4" t="inlineStr">
        <is>
          <t>Credential defensibility</t>
        </is>
      </c>
      <c r="B13" s="15" t="n">
        <v>2</v>
      </c>
      <c r="C13" s="4" t="inlineStr">
        <is>
          <t>A credential only becomes a moat through accreditation (IACET/ACCME partner) or association endorsement; neither exists yet.</t>
        </is>
      </c>
    </row>
    <row r="14">
      <c r="A14" s="4" t="inlineStr">
        <is>
          <t>Scalability and margin</t>
        </is>
      </c>
      <c r="B14" s="15" t="n">
        <v>4</v>
      </c>
      <c r="C14" s="4" t="inlineStr">
        <is>
          <t>Self-paced core keeps margin high; live cohorts and graded builds are the cost drivers.</t>
        </is>
      </c>
    </row>
    <row r="15">
      <c r="A15" s="8" t="inlineStr">
        <is>
          <t>Total</t>
        </is>
      </c>
      <c r="B15" s="10">
        <f>SUM(B5:B14)&amp;" of "&amp;COUNT(B5:B14)*5</f>
        <v/>
      </c>
    </row>
    <row r="16">
      <c r="A16" s="8" t="inlineStr">
        <is>
          <t>Share of maximum</t>
        </is>
      </c>
      <c r="B16" s="9">
        <f>SUM(B5:B14)/(COUNT(B5:B14)*5)</f>
        <v/>
      </c>
    </row>
    <row r="17">
      <c r="A17" s="8" t="inlineStr">
        <is>
          <t>Verdict</t>
        </is>
      </c>
      <c r="B17" s="10">
        <f>IF(B16&gt;=0.75,"GREEN",IF(B16&gt;=0.55,"AMBER","RED"))</f>
        <v/>
      </c>
    </row>
  </sheetData>
  <dataValidations count="1">
    <dataValidation sqref="B5:B14" showDropDown="0" showInputMessage="0" showErrorMessage="0" allowBlank="0" type="whole" operator="between">
      <formula1>1</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8" customWidth="1" min="3" max="3"/>
    <col width="6" customWidth="1" min="4" max="4"/>
    <col width="12" customWidth="1" min="5" max="5"/>
    <col width="18" customWidth="1" min="6" max="6"/>
    <col width="18" customWidth="1" min="7" max="7"/>
    <col width="18" customWidth="1" min="8" max="8"/>
  </cols>
  <sheetData>
    <row r="1">
      <c r="A1" s="1" t="inlineStr">
        <is>
          <t>Roadmap ceiling — realistic score after each phase</t>
        </is>
      </c>
    </row>
    <row r="2">
      <c r="A2" s="2" t="inlineStr">
        <is>
          <t>Reviewer's estimate of what each phase can earn. Evidence-only criteria (credential, CE, outcomes, SOC 2, clients, audience) cannot be designed in.</t>
        </is>
      </c>
    </row>
    <row r="4" ht="42" customHeight="1">
      <c r="A4" s="5" t="inlineStr">
        <is>
          <t>ID</t>
        </is>
      </c>
      <c r="B4" s="5" t="inlineStr">
        <is>
          <t>Criterion</t>
        </is>
      </c>
      <c r="C4" s="5" t="inlineStr">
        <is>
          <t>Weight</t>
        </is>
      </c>
      <c r="D4" s="5" t="inlineStr">
        <is>
          <t>Gate</t>
        </is>
      </c>
      <c r="E4" s="5" t="inlineStr">
        <is>
          <t>Evidence-only?</t>
        </is>
      </c>
      <c r="F4" s="5" t="inlineStr">
        <is>
          <t>Phase 1: MVP (months 0–4)</t>
        </is>
      </c>
      <c r="G4" s="5" t="inlineStr">
        <is>
          <t>Phase 2: Pilot with 1–2 teams (4–8)</t>
        </is>
      </c>
      <c r="H4" s="5" t="inlineStr">
        <is>
          <t>Phase 3: Certified, national (8–12)</t>
        </is>
      </c>
    </row>
    <row r="5">
      <c r="A5" s="17">
        <f>Rubric!A5</f>
        <v/>
      </c>
      <c r="B5" s="4">
        <f>Rubric!C5</f>
        <v/>
      </c>
      <c r="C5" s="17">
        <f>Rubric!E5</f>
        <v/>
      </c>
      <c r="D5" s="17">
        <f>Rubric!F5</f>
        <v/>
      </c>
      <c r="E5" s="17" t="inlineStr"/>
      <c r="F5" s="15" t="n">
        <v>3</v>
      </c>
      <c r="G5" s="15" t="n">
        <v>3</v>
      </c>
      <c r="H5" s="15" t="n">
        <v>3</v>
      </c>
    </row>
    <row r="6">
      <c r="A6" s="17">
        <f>Rubric!A6</f>
        <v/>
      </c>
      <c r="B6" s="4">
        <f>Rubric!C6</f>
        <v/>
      </c>
      <c r="C6" s="17">
        <f>Rubric!E6</f>
        <v/>
      </c>
      <c r="D6" s="17">
        <f>Rubric!F6</f>
        <v/>
      </c>
      <c r="E6" s="17" t="inlineStr"/>
      <c r="F6" s="15" t="n">
        <v>2</v>
      </c>
      <c r="G6" s="15" t="n">
        <v>3</v>
      </c>
      <c r="H6" s="15" t="n">
        <v>3</v>
      </c>
    </row>
    <row r="7">
      <c r="A7" s="17">
        <f>Rubric!A7</f>
        <v/>
      </c>
      <c r="B7" s="4">
        <f>Rubric!C7</f>
        <v/>
      </c>
      <c r="C7" s="17">
        <f>Rubric!E7</f>
        <v/>
      </c>
      <c r="D7" s="17">
        <f>Rubric!F7</f>
        <v/>
      </c>
      <c r="E7" s="17" t="inlineStr"/>
      <c r="F7" s="15" t="n">
        <v>2</v>
      </c>
      <c r="G7" s="15" t="n">
        <v>3</v>
      </c>
      <c r="H7" s="15" t="n">
        <v>3</v>
      </c>
    </row>
    <row r="8">
      <c r="A8" s="17">
        <f>Rubric!A8</f>
        <v/>
      </c>
      <c r="B8" s="4">
        <f>Rubric!C8</f>
        <v/>
      </c>
      <c r="C8" s="17">
        <f>Rubric!E8</f>
        <v/>
      </c>
      <c r="D8" s="17">
        <f>Rubric!F8</f>
        <v/>
      </c>
      <c r="E8" s="17" t="inlineStr"/>
      <c r="F8" s="15" t="n">
        <v>1</v>
      </c>
      <c r="G8" s="15" t="n">
        <v>2</v>
      </c>
      <c r="H8" s="15" t="n">
        <v>3</v>
      </c>
    </row>
    <row r="9">
      <c r="A9" s="17">
        <f>Rubric!A9</f>
        <v/>
      </c>
      <c r="B9" s="4">
        <f>Rubric!C9</f>
        <v/>
      </c>
      <c r="C9" s="17">
        <f>Rubric!E9</f>
        <v/>
      </c>
      <c r="D9" s="17">
        <f>Rubric!F9</f>
        <v/>
      </c>
      <c r="E9" s="17" t="inlineStr"/>
      <c r="F9" s="15" t="n">
        <v>3</v>
      </c>
      <c r="G9" s="15" t="n">
        <v>3</v>
      </c>
      <c r="H9" s="15" t="n">
        <v>3</v>
      </c>
    </row>
    <row r="10">
      <c r="A10" s="17">
        <f>Rubric!A10</f>
        <v/>
      </c>
      <c r="B10" s="4">
        <f>Rubric!C10</f>
        <v/>
      </c>
      <c r="C10" s="17">
        <f>Rubric!E10</f>
        <v/>
      </c>
      <c r="D10" s="17">
        <f>Rubric!F10</f>
        <v/>
      </c>
      <c r="E10" s="17" t="inlineStr"/>
      <c r="F10" s="15" t="n">
        <v>1</v>
      </c>
      <c r="G10" s="15" t="n">
        <v>2</v>
      </c>
      <c r="H10" s="15" t="n">
        <v>3</v>
      </c>
    </row>
    <row r="11">
      <c r="A11" s="17">
        <f>Rubric!A11</f>
        <v/>
      </c>
      <c r="B11" s="4">
        <f>Rubric!C11</f>
        <v/>
      </c>
      <c r="C11" s="17">
        <f>Rubric!E11</f>
        <v/>
      </c>
      <c r="D11" s="17">
        <f>Rubric!F11</f>
        <v/>
      </c>
      <c r="E11" s="17" t="inlineStr"/>
      <c r="F11" s="15" t="n">
        <v>1</v>
      </c>
      <c r="G11" s="15" t="n">
        <v>2</v>
      </c>
      <c r="H11" s="15" t="n">
        <v>3</v>
      </c>
    </row>
    <row r="12">
      <c r="A12" s="17">
        <f>Rubric!A12</f>
        <v/>
      </c>
      <c r="B12" s="4">
        <f>Rubric!C12</f>
        <v/>
      </c>
      <c r="C12" s="17">
        <f>Rubric!E12</f>
        <v/>
      </c>
      <c r="D12" s="17">
        <f>Rubric!F12</f>
        <v/>
      </c>
      <c r="E12" s="17" t="inlineStr"/>
      <c r="F12" s="15" t="n">
        <v>2</v>
      </c>
      <c r="G12" s="15" t="n">
        <v>3</v>
      </c>
      <c r="H12" s="15" t="n">
        <v>3</v>
      </c>
    </row>
    <row r="13">
      <c r="A13" s="17">
        <f>Rubric!A13</f>
        <v/>
      </c>
      <c r="B13" s="4">
        <f>Rubric!C13</f>
        <v/>
      </c>
      <c r="C13" s="17">
        <f>Rubric!E13</f>
        <v/>
      </c>
      <c r="D13" s="17">
        <f>Rubric!F13</f>
        <v/>
      </c>
      <c r="E13" s="17" t="inlineStr"/>
      <c r="F13" s="15" t="n">
        <v>1</v>
      </c>
      <c r="G13" s="15" t="n">
        <v>2</v>
      </c>
      <c r="H13" s="15" t="n">
        <v>3</v>
      </c>
    </row>
    <row r="14">
      <c r="A14" s="17">
        <f>Rubric!A14</f>
        <v/>
      </c>
      <c r="B14" s="4">
        <f>Rubric!C14</f>
        <v/>
      </c>
      <c r="C14" s="17">
        <f>Rubric!E14</f>
        <v/>
      </c>
      <c r="D14" s="17">
        <f>Rubric!F14</f>
        <v/>
      </c>
      <c r="E14" s="17" t="inlineStr"/>
      <c r="F14" s="15" t="n">
        <v>2</v>
      </c>
      <c r="G14" s="15" t="n">
        <v>3</v>
      </c>
      <c r="H14" s="15" t="n">
        <v>3</v>
      </c>
    </row>
    <row r="15">
      <c r="A15" s="17">
        <f>Rubric!A15</f>
        <v/>
      </c>
      <c r="B15" s="4">
        <f>Rubric!C15</f>
        <v/>
      </c>
      <c r="C15" s="17">
        <f>Rubric!E15</f>
        <v/>
      </c>
      <c r="D15" s="17">
        <f>Rubric!F15</f>
        <v/>
      </c>
      <c r="E15" s="17" t="inlineStr"/>
      <c r="F15" s="15" t="n">
        <v>2</v>
      </c>
      <c r="G15" s="15" t="n">
        <v>3</v>
      </c>
      <c r="H15" s="15" t="n">
        <v>3</v>
      </c>
    </row>
    <row r="16">
      <c r="A16" s="17">
        <f>Rubric!A16</f>
        <v/>
      </c>
      <c r="B16" s="4">
        <f>Rubric!C16</f>
        <v/>
      </c>
      <c r="C16" s="17">
        <f>Rubric!E16</f>
        <v/>
      </c>
      <c r="D16" s="17">
        <f>Rubric!F16</f>
        <v/>
      </c>
      <c r="E16" s="17" t="inlineStr"/>
      <c r="F16" s="15" t="n">
        <v>2</v>
      </c>
      <c r="G16" s="15" t="n">
        <v>3</v>
      </c>
      <c r="H16" s="15" t="n">
        <v>3</v>
      </c>
    </row>
    <row r="17">
      <c r="A17" s="17">
        <f>Rubric!A17</f>
        <v/>
      </c>
      <c r="B17" s="4">
        <f>Rubric!C17</f>
        <v/>
      </c>
      <c r="C17" s="17">
        <f>Rubric!E17</f>
        <v/>
      </c>
      <c r="D17" s="17">
        <f>Rubric!F17</f>
        <v/>
      </c>
      <c r="E17" s="17" t="inlineStr"/>
      <c r="F17" s="15" t="n">
        <v>2</v>
      </c>
      <c r="G17" s="15" t="n">
        <v>3</v>
      </c>
      <c r="H17" s="15" t="n">
        <v>3</v>
      </c>
    </row>
    <row r="18">
      <c r="A18" s="17">
        <f>Rubric!A18</f>
        <v/>
      </c>
      <c r="B18" s="4">
        <f>Rubric!C18</f>
        <v/>
      </c>
      <c r="C18" s="17">
        <f>Rubric!E18</f>
        <v/>
      </c>
      <c r="D18" s="17">
        <f>Rubric!F18</f>
        <v/>
      </c>
      <c r="E18" s="17" t="inlineStr"/>
      <c r="F18" s="15" t="n">
        <v>3</v>
      </c>
      <c r="G18" s="15" t="n">
        <v>3</v>
      </c>
      <c r="H18" s="15" t="n">
        <v>3</v>
      </c>
    </row>
    <row r="19">
      <c r="A19" s="17">
        <f>Rubric!A19</f>
        <v/>
      </c>
      <c r="B19" s="4">
        <f>Rubric!C19</f>
        <v/>
      </c>
      <c r="C19" s="17">
        <f>Rubric!E19</f>
        <v/>
      </c>
      <c r="D19" s="17">
        <f>Rubric!F19</f>
        <v/>
      </c>
      <c r="E19" s="17" t="inlineStr"/>
      <c r="F19" s="15" t="n">
        <v>2</v>
      </c>
      <c r="G19" s="15" t="n">
        <v>3</v>
      </c>
      <c r="H19" s="15" t="n">
        <v>3</v>
      </c>
    </row>
    <row r="20">
      <c r="A20" s="17">
        <f>Rubric!A20</f>
        <v/>
      </c>
      <c r="B20" s="4">
        <f>Rubric!C20</f>
        <v/>
      </c>
      <c r="C20" s="17">
        <f>Rubric!E20</f>
        <v/>
      </c>
      <c r="D20" s="17">
        <f>Rubric!F20</f>
        <v/>
      </c>
      <c r="E20" s="17" t="inlineStr"/>
      <c r="F20" s="15" t="n">
        <v>3</v>
      </c>
      <c r="G20" s="15" t="n">
        <v>3</v>
      </c>
      <c r="H20" s="15" t="n">
        <v>3</v>
      </c>
    </row>
    <row r="21">
      <c r="A21" s="17">
        <f>Rubric!A21</f>
        <v/>
      </c>
      <c r="B21" s="4">
        <f>Rubric!C21</f>
        <v/>
      </c>
      <c r="C21" s="17">
        <f>Rubric!E21</f>
        <v/>
      </c>
      <c r="D21" s="17">
        <f>Rubric!F21</f>
        <v/>
      </c>
      <c r="E21" s="17" t="inlineStr"/>
      <c r="F21" s="15" t="n">
        <v>2</v>
      </c>
      <c r="G21" s="15" t="n">
        <v>3</v>
      </c>
      <c r="H21" s="15" t="n">
        <v>3</v>
      </c>
    </row>
    <row r="22">
      <c r="A22" s="17">
        <f>Rubric!A22</f>
        <v/>
      </c>
      <c r="B22" s="4">
        <f>Rubric!C22</f>
        <v/>
      </c>
      <c r="C22" s="17">
        <f>Rubric!E22</f>
        <v/>
      </c>
      <c r="D22" s="17">
        <f>Rubric!F22</f>
        <v/>
      </c>
      <c r="E22" s="17" t="inlineStr"/>
      <c r="F22" s="15" t="n">
        <v>2</v>
      </c>
      <c r="G22" s="15" t="n">
        <v>3</v>
      </c>
      <c r="H22" s="15" t="n">
        <v>3</v>
      </c>
    </row>
    <row r="23">
      <c r="A23" s="17">
        <f>Rubric!A23</f>
        <v/>
      </c>
      <c r="B23" s="4">
        <f>Rubric!C23</f>
        <v/>
      </c>
      <c r="C23" s="17">
        <f>Rubric!E23</f>
        <v/>
      </c>
      <c r="D23" s="17">
        <f>Rubric!F23</f>
        <v/>
      </c>
      <c r="E23" s="17" t="inlineStr"/>
      <c r="F23" s="15" t="n">
        <v>1</v>
      </c>
      <c r="G23" s="15" t="n">
        <v>2</v>
      </c>
      <c r="H23" s="15" t="n">
        <v>3</v>
      </c>
    </row>
    <row r="24">
      <c r="A24" s="17">
        <f>Rubric!A24</f>
        <v/>
      </c>
      <c r="B24" s="4">
        <f>Rubric!C24</f>
        <v/>
      </c>
      <c r="C24" s="17">
        <f>Rubric!E24</f>
        <v/>
      </c>
      <c r="D24" s="17">
        <f>Rubric!F24</f>
        <v/>
      </c>
      <c r="E24" s="17" t="inlineStr"/>
      <c r="F24" s="15" t="n">
        <v>2</v>
      </c>
      <c r="G24" s="15" t="n">
        <v>3</v>
      </c>
      <c r="H24" s="15" t="n">
        <v>3</v>
      </c>
    </row>
    <row r="25">
      <c r="A25" s="17">
        <f>Rubric!A25</f>
        <v/>
      </c>
      <c r="B25" s="4">
        <f>Rubric!C25</f>
        <v/>
      </c>
      <c r="C25" s="17">
        <f>Rubric!E25</f>
        <v/>
      </c>
      <c r="D25" s="17">
        <f>Rubric!F25</f>
        <v/>
      </c>
      <c r="E25" s="17" t="inlineStr">
        <is>
          <t>Y</t>
        </is>
      </c>
      <c r="F25" s="15" t="n">
        <v>1</v>
      </c>
      <c r="G25" s="15" t="n">
        <v>1</v>
      </c>
      <c r="H25" s="15" t="n">
        <v>2</v>
      </c>
    </row>
    <row r="26">
      <c r="A26" s="17">
        <f>Rubric!A26</f>
        <v/>
      </c>
      <c r="B26" s="4">
        <f>Rubric!C26</f>
        <v/>
      </c>
      <c r="C26" s="17">
        <f>Rubric!E26</f>
        <v/>
      </c>
      <c r="D26" s="17">
        <f>Rubric!F26</f>
        <v/>
      </c>
      <c r="E26" s="17" t="inlineStr">
        <is>
          <t>Y</t>
        </is>
      </c>
      <c r="F26" s="15" t="n">
        <v>0</v>
      </c>
      <c r="G26" s="15" t="n">
        <v>1</v>
      </c>
      <c r="H26" s="15" t="n">
        <v>2</v>
      </c>
    </row>
    <row r="27">
      <c r="A27" s="17">
        <f>Rubric!A27</f>
        <v/>
      </c>
      <c r="B27" s="4">
        <f>Rubric!C27</f>
        <v/>
      </c>
      <c r="C27" s="17">
        <f>Rubric!E27</f>
        <v/>
      </c>
      <c r="D27" s="17">
        <f>Rubric!F27</f>
        <v/>
      </c>
      <c r="E27" s="17" t="inlineStr"/>
      <c r="F27" s="15" t="n">
        <v>2</v>
      </c>
      <c r="G27" s="15" t="n">
        <v>3</v>
      </c>
      <c r="H27" s="15" t="n">
        <v>3</v>
      </c>
    </row>
    <row r="28">
      <c r="A28" s="17">
        <f>Rubric!A28</f>
        <v/>
      </c>
      <c r="B28" s="4">
        <f>Rubric!C28</f>
        <v/>
      </c>
      <c r="C28" s="17">
        <f>Rubric!E28</f>
        <v/>
      </c>
      <c r="D28" s="17">
        <f>Rubric!F28</f>
        <v/>
      </c>
      <c r="E28" s="17" t="inlineStr"/>
      <c r="F28" s="15" t="n">
        <v>2</v>
      </c>
      <c r="G28" s="15" t="n">
        <v>3</v>
      </c>
      <c r="H28" s="15" t="n">
        <v>3</v>
      </c>
    </row>
    <row r="29">
      <c r="A29" s="17">
        <f>Rubric!A29</f>
        <v/>
      </c>
      <c r="B29" s="4">
        <f>Rubric!C29</f>
        <v/>
      </c>
      <c r="C29" s="17">
        <f>Rubric!E29</f>
        <v/>
      </c>
      <c r="D29" s="17">
        <f>Rubric!F29</f>
        <v/>
      </c>
      <c r="E29" s="17" t="inlineStr">
        <is>
          <t>Y</t>
        </is>
      </c>
      <c r="F29" s="15" t="n">
        <v>0</v>
      </c>
      <c r="G29" s="15" t="n">
        <v>1</v>
      </c>
      <c r="H29" s="15" t="n">
        <v>3</v>
      </c>
    </row>
    <row r="30">
      <c r="A30" s="17">
        <f>Rubric!A30</f>
        <v/>
      </c>
      <c r="B30" s="4">
        <f>Rubric!C30</f>
        <v/>
      </c>
      <c r="C30" s="17">
        <f>Rubric!E30</f>
        <v/>
      </c>
      <c r="D30" s="17">
        <f>Rubric!F30</f>
        <v/>
      </c>
      <c r="E30" s="17" t="inlineStr"/>
      <c r="F30" s="15" t="n">
        <v>1</v>
      </c>
      <c r="G30" s="15" t="n">
        <v>2</v>
      </c>
      <c r="H30" s="15" t="n">
        <v>3</v>
      </c>
    </row>
    <row r="31">
      <c r="A31" s="17">
        <f>Rubric!A31</f>
        <v/>
      </c>
      <c r="B31" s="4">
        <f>Rubric!C31</f>
        <v/>
      </c>
      <c r="C31" s="17">
        <f>Rubric!E31</f>
        <v/>
      </c>
      <c r="D31" s="17">
        <f>Rubric!F31</f>
        <v/>
      </c>
      <c r="E31" s="17" t="inlineStr"/>
      <c r="F31" s="15" t="n">
        <v>2</v>
      </c>
      <c r="G31" s="15" t="n">
        <v>3</v>
      </c>
      <c r="H31" s="15" t="n">
        <v>3</v>
      </c>
    </row>
    <row r="32">
      <c r="A32" s="17">
        <f>Rubric!A32</f>
        <v/>
      </c>
      <c r="B32" s="4">
        <f>Rubric!C32</f>
        <v/>
      </c>
      <c r="C32" s="17">
        <f>Rubric!E32</f>
        <v/>
      </c>
      <c r="D32" s="17">
        <f>Rubric!F32</f>
        <v/>
      </c>
      <c r="E32" s="17" t="inlineStr"/>
      <c r="F32" s="15" t="n">
        <v>2</v>
      </c>
      <c r="G32" s="15" t="n">
        <v>3</v>
      </c>
      <c r="H32" s="15" t="n">
        <v>3</v>
      </c>
    </row>
    <row r="33">
      <c r="A33" s="17">
        <f>Rubric!A33</f>
        <v/>
      </c>
      <c r="B33" s="4">
        <f>Rubric!C33</f>
        <v/>
      </c>
      <c r="C33" s="17">
        <f>Rubric!E33</f>
        <v/>
      </c>
      <c r="D33" s="17">
        <f>Rubric!F33</f>
        <v/>
      </c>
      <c r="E33" s="17" t="inlineStr"/>
      <c r="F33" s="15" t="n">
        <v>2</v>
      </c>
      <c r="G33" s="15" t="n">
        <v>3</v>
      </c>
      <c r="H33" s="15" t="n">
        <v>3</v>
      </c>
    </row>
    <row r="34">
      <c r="A34" s="17">
        <f>Rubric!A34</f>
        <v/>
      </c>
      <c r="B34" s="4">
        <f>Rubric!C34</f>
        <v/>
      </c>
      <c r="C34" s="17">
        <f>Rubric!E34</f>
        <v/>
      </c>
      <c r="D34" s="17">
        <f>Rubric!F34</f>
        <v/>
      </c>
      <c r="E34" s="17" t="inlineStr"/>
      <c r="F34" s="15" t="n">
        <v>1</v>
      </c>
      <c r="G34" s="15" t="n">
        <v>3</v>
      </c>
      <c r="H34" s="15" t="n">
        <v>3</v>
      </c>
    </row>
    <row r="35">
      <c r="A35" s="17">
        <f>Rubric!A35</f>
        <v/>
      </c>
      <c r="B35" s="4">
        <f>Rubric!C35</f>
        <v/>
      </c>
      <c r="C35" s="17">
        <f>Rubric!E35</f>
        <v/>
      </c>
      <c r="D35" s="17">
        <f>Rubric!F35</f>
        <v/>
      </c>
      <c r="E35" s="17" t="inlineStr">
        <is>
          <t>Y</t>
        </is>
      </c>
      <c r="F35" s="15" t="n">
        <v>1</v>
      </c>
      <c r="G35" s="15" t="n">
        <v>2</v>
      </c>
      <c r="H35" s="15" t="n">
        <v>2</v>
      </c>
    </row>
    <row r="36">
      <c r="A36" s="17">
        <f>Rubric!A36</f>
        <v/>
      </c>
      <c r="B36" s="4">
        <f>Rubric!C36</f>
        <v/>
      </c>
      <c r="C36" s="17">
        <f>Rubric!E36</f>
        <v/>
      </c>
      <c r="D36" s="17">
        <f>Rubric!F36</f>
        <v/>
      </c>
      <c r="E36" s="17" t="inlineStr"/>
      <c r="F36" s="15" t="n">
        <v>0</v>
      </c>
      <c r="G36" s="15" t="n">
        <v>1</v>
      </c>
      <c r="H36" s="15" t="n">
        <v>3</v>
      </c>
    </row>
    <row r="37">
      <c r="A37" s="17">
        <f>Rubric!A37</f>
        <v/>
      </c>
      <c r="B37" s="4">
        <f>Rubric!C37</f>
        <v/>
      </c>
      <c r="C37" s="17">
        <f>Rubric!E37</f>
        <v/>
      </c>
      <c r="D37" s="17">
        <f>Rubric!F37</f>
        <v/>
      </c>
      <c r="E37" s="17" t="inlineStr"/>
      <c r="F37" s="15" t="n">
        <v>1</v>
      </c>
      <c r="G37" s="15" t="n">
        <v>2</v>
      </c>
      <c r="H37" s="15" t="n">
        <v>3</v>
      </c>
    </row>
    <row r="38">
      <c r="A38" s="17">
        <f>Rubric!A38</f>
        <v/>
      </c>
      <c r="B38" s="4">
        <f>Rubric!C38</f>
        <v/>
      </c>
      <c r="C38" s="17">
        <f>Rubric!E38</f>
        <v/>
      </c>
      <c r="D38" s="17">
        <f>Rubric!F38</f>
        <v/>
      </c>
      <c r="E38" s="17" t="inlineStr">
        <is>
          <t>Y</t>
        </is>
      </c>
      <c r="F38" s="15" t="n">
        <v>0</v>
      </c>
      <c r="G38" s="15" t="n">
        <v>1</v>
      </c>
      <c r="H38" s="15" t="n">
        <v>2</v>
      </c>
    </row>
    <row r="39">
      <c r="A39" s="17">
        <f>Rubric!A39</f>
        <v/>
      </c>
      <c r="B39" s="4">
        <f>Rubric!C39</f>
        <v/>
      </c>
      <c r="C39" s="17">
        <f>Rubric!E39</f>
        <v/>
      </c>
      <c r="D39" s="17">
        <f>Rubric!F39</f>
        <v/>
      </c>
      <c r="E39" s="17" t="inlineStr"/>
      <c r="F39" s="15" t="n">
        <v>3</v>
      </c>
      <c r="G39" s="15" t="n">
        <v>3</v>
      </c>
      <c r="H39" s="15" t="n">
        <v>3</v>
      </c>
    </row>
    <row r="40">
      <c r="A40" s="17">
        <f>Rubric!A40</f>
        <v/>
      </c>
      <c r="B40" s="4">
        <f>Rubric!C40</f>
        <v/>
      </c>
      <c r="C40" s="17">
        <f>Rubric!E40</f>
        <v/>
      </c>
      <c r="D40" s="17">
        <f>Rubric!F40</f>
        <v/>
      </c>
      <c r="E40" s="17" t="inlineStr"/>
      <c r="F40" s="15" t="n">
        <v>2</v>
      </c>
      <c r="G40" s="15" t="n">
        <v>3</v>
      </c>
      <c r="H40" s="15" t="n">
        <v>3</v>
      </c>
    </row>
    <row r="41">
      <c r="A41" s="17">
        <f>Rubric!A41</f>
        <v/>
      </c>
      <c r="B41" s="4">
        <f>Rubric!C41</f>
        <v/>
      </c>
      <c r="C41" s="17">
        <f>Rubric!E41</f>
        <v/>
      </c>
      <c r="D41" s="17">
        <f>Rubric!F41</f>
        <v/>
      </c>
      <c r="E41" s="17" t="inlineStr"/>
      <c r="F41" s="15" t="n">
        <v>1</v>
      </c>
      <c r="G41" s="15" t="n">
        <v>2</v>
      </c>
      <c r="H41" s="15" t="n">
        <v>3</v>
      </c>
    </row>
    <row r="42">
      <c r="A42" s="17">
        <f>Rubric!A42</f>
        <v/>
      </c>
      <c r="B42" s="4">
        <f>Rubric!C42</f>
        <v/>
      </c>
      <c r="C42" s="17">
        <f>Rubric!E42</f>
        <v/>
      </c>
      <c r="D42" s="17">
        <f>Rubric!F42</f>
        <v/>
      </c>
      <c r="E42" s="17" t="inlineStr">
        <is>
          <t>Y</t>
        </is>
      </c>
      <c r="F42" s="15" t="n">
        <v>0</v>
      </c>
      <c r="G42" s="15" t="n">
        <v>1</v>
      </c>
      <c r="H42" s="15" t="n">
        <v>2</v>
      </c>
    </row>
    <row r="43">
      <c r="A43" s="17">
        <f>Rubric!A43</f>
        <v/>
      </c>
      <c r="B43" s="4">
        <f>Rubric!C43</f>
        <v/>
      </c>
      <c r="C43" s="17">
        <f>Rubric!E43</f>
        <v/>
      </c>
      <c r="D43" s="17">
        <f>Rubric!F43</f>
        <v/>
      </c>
      <c r="E43" s="17" t="inlineStr"/>
      <c r="F43" s="15" t="n">
        <v>3</v>
      </c>
      <c r="G43" s="15" t="n">
        <v>3</v>
      </c>
      <c r="H43" s="15" t="n">
        <v>3</v>
      </c>
    </row>
    <row r="44">
      <c r="A44" s="17">
        <f>Rubric!A44</f>
        <v/>
      </c>
      <c r="B44" s="4">
        <f>Rubric!C44</f>
        <v/>
      </c>
      <c r="C44" s="17">
        <f>Rubric!E44</f>
        <v/>
      </c>
      <c r="D44" s="17">
        <f>Rubric!F44</f>
        <v/>
      </c>
      <c r="E44" s="17" t="inlineStr"/>
      <c r="F44" s="15" t="n">
        <v>3</v>
      </c>
      <c r="G44" s="15" t="n">
        <v>3</v>
      </c>
      <c r="H44" s="15" t="n">
        <v>3</v>
      </c>
    </row>
    <row r="45">
      <c r="A45" s="17">
        <f>Rubric!A45</f>
        <v/>
      </c>
      <c r="B45" s="4">
        <f>Rubric!C45</f>
        <v/>
      </c>
      <c r="C45" s="17">
        <f>Rubric!E45</f>
        <v/>
      </c>
      <c r="D45" s="17">
        <f>Rubric!F45</f>
        <v/>
      </c>
      <c r="E45" s="17" t="inlineStr"/>
      <c r="F45" s="15" t="n">
        <v>2</v>
      </c>
      <c r="G45" s="15" t="n">
        <v>3</v>
      </c>
      <c r="H45" s="15" t="n">
        <v>3</v>
      </c>
    </row>
    <row r="46">
      <c r="A46" s="17">
        <f>Rubric!A46</f>
        <v/>
      </c>
      <c r="B46" s="4">
        <f>Rubric!C46</f>
        <v/>
      </c>
      <c r="C46" s="17">
        <f>Rubric!E46</f>
        <v/>
      </c>
      <c r="D46" s="17">
        <f>Rubric!F46</f>
        <v/>
      </c>
      <c r="E46" s="17" t="inlineStr"/>
      <c r="F46" s="15" t="n">
        <v>3</v>
      </c>
      <c r="G46" s="15" t="n">
        <v>3</v>
      </c>
      <c r="H46" s="15" t="n">
        <v>3</v>
      </c>
    </row>
    <row r="48">
      <c r="B48" s="8" t="inlineStr">
        <is>
          <t>Overall weighted score (Summary domain weights)</t>
        </is>
      </c>
      <c r="F48" s="9">
        <f>(Summary!$B$5*SUMPRODUCT((Rubric!$B$5:$B$46=Summary!$A$5)*$C$5:$C$46*F5:F46)/(SUMPRODUCT((Rubric!$B$5:$B$46=Summary!$A$5)*$C$5:$C$46)*3)+Summary!$B$6*SUMPRODUCT((Rubric!$B$5:$B$46=Summary!$A$6)*$C$5:$C$46*F5:F46)/(SUMPRODUCT((Rubric!$B$5:$B$46=Summary!$A$6)*$C$5:$C$46)*3)+Summary!$B$7*SUMPRODUCT((Rubric!$B$5:$B$46=Summary!$A$7)*$C$5:$C$46*F5:F46)/(SUMPRODUCT((Rubric!$B$5:$B$46=Summary!$A$7)*$C$5:$C$46)*3)+Summary!$B$8*SUMPRODUCT((Rubric!$B$5:$B$46=Summary!$A$8)*$C$5:$C$46*F5:F46)/(SUMPRODUCT((Rubric!$B$5:$B$46=Summary!$A$8)*$C$5:$C$46)*3)+Summary!$B$9*SUMPRODUCT((Rubric!$B$5:$B$46=Summary!$A$9)*$C$5:$C$46*F5:F46)/(SUMPRODUCT((Rubric!$B$5:$B$46=Summary!$A$9)*$C$5:$C$46)*3)+Summary!$B$10*SUMPRODUCT((Rubric!$B$5:$B$46=Summary!$A$10)*$C$5:$C$46*F5:F46)/(SUMPRODUCT((Rubric!$B$5:$B$46=Summary!$A$10)*$C$5:$C$46)*3)+Summary!$B$11*SUMPRODUCT((Rubric!$B$5:$B$46=Summary!$A$11)*$C$5:$C$46*F5:F46)/(SUMPRODUCT((Rubric!$B$5:$B$46=Summary!$A$11)*$C$5:$C$46)*3)+Summary!$B$12*SUMPRODUCT((Rubric!$B$5:$B$46=Summary!$A$12)*$C$5:$C$46*F5:F46)/(SUMPRODUCT((Rubric!$B$5:$B$46=Summary!$A$12)*$C$5:$C$46)*3)+Summary!$B$13*SUMPRODUCT((Rubric!$B$5:$B$46=Summary!$A$13)*$C$5:$C$46*F5:F46)/(SUMPRODUCT((Rubric!$B$5:$B$46=Summary!$A$13)*$C$5:$C$46)*3)+Summary!$B$14*SUMPRODUCT((Rubric!$B$5:$B$46=Summary!$A$14)*$C$5:$C$46*F5:F46)/(SUMPRODUCT((Rubric!$B$5:$B$46=Summary!$A$14)*$C$5:$C$46)*3))/SUM(Summary!$B$5:$B$14)</f>
        <v/>
      </c>
      <c r="G48" s="9">
        <f>(Summary!$B$5*SUMPRODUCT((Rubric!$B$5:$B$46=Summary!$A$5)*$C$5:$C$46*G5:G46)/(SUMPRODUCT((Rubric!$B$5:$B$46=Summary!$A$5)*$C$5:$C$46)*3)+Summary!$B$6*SUMPRODUCT((Rubric!$B$5:$B$46=Summary!$A$6)*$C$5:$C$46*G5:G46)/(SUMPRODUCT((Rubric!$B$5:$B$46=Summary!$A$6)*$C$5:$C$46)*3)+Summary!$B$7*SUMPRODUCT((Rubric!$B$5:$B$46=Summary!$A$7)*$C$5:$C$46*G5:G46)/(SUMPRODUCT((Rubric!$B$5:$B$46=Summary!$A$7)*$C$5:$C$46)*3)+Summary!$B$8*SUMPRODUCT((Rubric!$B$5:$B$46=Summary!$A$8)*$C$5:$C$46*G5:G46)/(SUMPRODUCT((Rubric!$B$5:$B$46=Summary!$A$8)*$C$5:$C$46)*3)+Summary!$B$9*SUMPRODUCT((Rubric!$B$5:$B$46=Summary!$A$9)*$C$5:$C$46*G5:G46)/(SUMPRODUCT((Rubric!$B$5:$B$46=Summary!$A$9)*$C$5:$C$46)*3)+Summary!$B$10*SUMPRODUCT((Rubric!$B$5:$B$46=Summary!$A$10)*$C$5:$C$46*G5:G46)/(SUMPRODUCT((Rubric!$B$5:$B$46=Summary!$A$10)*$C$5:$C$46)*3)+Summary!$B$11*SUMPRODUCT((Rubric!$B$5:$B$46=Summary!$A$11)*$C$5:$C$46*G5:G46)/(SUMPRODUCT((Rubric!$B$5:$B$46=Summary!$A$11)*$C$5:$C$46)*3)+Summary!$B$12*SUMPRODUCT((Rubric!$B$5:$B$46=Summary!$A$12)*$C$5:$C$46*G5:G46)/(SUMPRODUCT((Rubric!$B$5:$B$46=Summary!$A$12)*$C$5:$C$46)*3)+Summary!$B$13*SUMPRODUCT((Rubric!$B$5:$B$46=Summary!$A$13)*$C$5:$C$46*G5:G46)/(SUMPRODUCT((Rubric!$B$5:$B$46=Summary!$A$13)*$C$5:$C$46)*3)+Summary!$B$14*SUMPRODUCT((Rubric!$B$5:$B$46=Summary!$A$14)*$C$5:$C$46*G5:G46)/(SUMPRODUCT((Rubric!$B$5:$B$46=Summary!$A$14)*$C$5:$C$46)*3))/SUM(Summary!$B$5:$B$14)</f>
        <v/>
      </c>
      <c r="H48" s="9">
        <f>(Summary!$B$5*SUMPRODUCT((Rubric!$B$5:$B$46=Summary!$A$5)*$C$5:$C$46*H5:H46)/(SUMPRODUCT((Rubric!$B$5:$B$46=Summary!$A$5)*$C$5:$C$46)*3)+Summary!$B$6*SUMPRODUCT((Rubric!$B$5:$B$46=Summary!$A$6)*$C$5:$C$46*H5:H46)/(SUMPRODUCT((Rubric!$B$5:$B$46=Summary!$A$6)*$C$5:$C$46)*3)+Summary!$B$7*SUMPRODUCT((Rubric!$B$5:$B$46=Summary!$A$7)*$C$5:$C$46*H5:H46)/(SUMPRODUCT((Rubric!$B$5:$B$46=Summary!$A$7)*$C$5:$C$46)*3)+Summary!$B$8*SUMPRODUCT((Rubric!$B$5:$B$46=Summary!$A$8)*$C$5:$C$46*H5:H46)/(SUMPRODUCT((Rubric!$B$5:$B$46=Summary!$A$8)*$C$5:$C$46)*3)+Summary!$B$9*SUMPRODUCT((Rubric!$B$5:$B$46=Summary!$A$9)*$C$5:$C$46*H5:H46)/(SUMPRODUCT((Rubric!$B$5:$B$46=Summary!$A$9)*$C$5:$C$46)*3)+Summary!$B$10*SUMPRODUCT((Rubric!$B$5:$B$46=Summary!$A$10)*$C$5:$C$46*H5:H46)/(SUMPRODUCT((Rubric!$B$5:$B$46=Summary!$A$10)*$C$5:$C$46)*3)+Summary!$B$11*SUMPRODUCT((Rubric!$B$5:$B$46=Summary!$A$11)*$C$5:$C$46*H5:H46)/(SUMPRODUCT((Rubric!$B$5:$B$46=Summary!$A$11)*$C$5:$C$46)*3)+Summary!$B$12*SUMPRODUCT((Rubric!$B$5:$B$46=Summary!$A$12)*$C$5:$C$46*H5:H46)/(SUMPRODUCT((Rubric!$B$5:$B$46=Summary!$A$12)*$C$5:$C$46)*3)+Summary!$B$13*SUMPRODUCT((Rubric!$B$5:$B$46=Summary!$A$13)*$C$5:$C$46*H5:H46)/(SUMPRODUCT((Rubric!$B$5:$B$46=Summary!$A$13)*$C$5:$C$46)*3)+Summary!$B$14*SUMPRODUCT((Rubric!$B$5:$B$46=Summary!$A$14)*$C$5:$C$46*H5:H46)/(SUMPRODUCT((Rubric!$B$5:$B$46=Summary!$A$14)*$C$5:$C$46)*3))/SUM(Summary!$B$5:$B$14)</f>
        <v/>
      </c>
    </row>
    <row r="49">
      <c r="B49" s="8" t="inlineStr">
        <is>
          <t>Gate failures</t>
        </is>
      </c>
      <c r="F49" s="10">
        <f>COUNTIFS($D$5:$D$46,"Y",F5:F46,"&lt;2")</f>
        <v/>
      </c>
      <c r="G49" s="10">
        <f>COUNTIFS($D$5:$D$46,"Y",G5:G46,"&lt;2")</f>
        <v/>
      </c>
      <c r="H49" s="10">
        <f>COUNTIFS($D$5:$D$46,"Y",H5:H46,"&lt;2")</f>
        <v/>
      </c>
    </row>
    <row r="50">
      <c r="B50" s="8" t="inlineStr">
        <is>
          <t>Best competitor overall (for comparison)</t>
        </is>
      </c>
      <c r="F50" s="9">
        <f>MAX(Summary!C18:J18)</f>
        <v/>
      </c>
    </row>
  </sheetData>
  <conditionalFormatting sqref="F5:H46">
    <cfRule type="colorScale" priority="1">
      <colorScale>
        <cfvo type="num" val="0"/>
        <cfvo type="num" val="1.5"/>
        <cfvo type="num" val="3"/>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2026-10-28T01:36:03Z</dcterms:created>
  <dcterms:modified xmlns:dcterms="http://purl.org/dc/terms/" xmlns:xsi="http://www.w3.org/2001/XMLSchema-instance" xsi:type="dcterms:W3CDTF">2026-10-28T01:36:03Z</dcterms:modified>
</cp:coreProperties>
</file>